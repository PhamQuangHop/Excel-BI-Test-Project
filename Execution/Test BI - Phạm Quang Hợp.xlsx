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quang\OneDrive\Desktop\Test_BI\"/>
    </mc:Choice>
  </mc:AlternateContent>
  <xr:revisionPtr revIDLastSave="0" documentId="13_ncr:1_{D6C65C01-5F76-47C2-A5E6-1389BE7B9AE8}" xr6:coauthVersionLast="47" xr6:coauthVersionMax="47" xr10:uidLastSave="{00000000-0000-0000-0000-000000000000}"/>
  <bookViews>
    <workbookView xWindow="-108" yWindow="-108" windowWidth="23256" windowHeight="12456" tabRatio="828" firstSheet="6" activeTab="7" xr2:uid="{00000000-000D-0000-FFFF-FFFF00000000}"/>
  </bookViews>
  <sheets>
    <sheet name="DATA 1 - TỒN KHO THÁNG 7" sheetId="1" r:id="rId1"/>
    <sheet name="DATA 2 - DOANH SỐ BÁN" sheetId="2" r:id="rId2"/>
    <sheet name="TEST" sheetId="4" r:id="rId3"/>
    <sheet name="Target" sheetId="9" state="hidden" r:id="rId4"/>
    <sheet name="Dim_NganhHang" sheetId="11" state="hidden" r:id="rId5"/>
    <sheet name="Dim_ThoiGian" sheetId="12" state="hidden" r:id="rId6"/>
    <sheet name="C1-Bảng biểu, biểu đồ,nhận xét" sheetId="13" r:id="rId7"/>
    <sheet name="C1-Dashboard Doanh Số-Target" sheetId="14" r:id="rId8"/>
    <sheet name="C2-DATA 1- TỒN KHO T7(đã xử lý)" sheetId="7" r:id="rId9"/>
    <sheet name=" C2-Bảng,chart,NX-ĐX" sheetId="15" r:id="rId10"/>
    <sheet name="DATA 1 - TỒN KHO THÁNG 7 (COPY)" sheetId="6" state="hidden" r:id="rId11"/>
  </sheets>
  <definedNames>
    <definedName name="_xlcn.WorksheetConnection_TestBIPhạmQuangHợp.xlsxTable61" hidden="1">Table6[]</definedName>
    <definedName name="_xlcn.WorksheetConnection_TestBIPhạmQuangHợp.xlsxTable71" hidden="1">Table7[]</definedName>
    <definedName name="_xlcn.WorksheetConnection_TestBIPhạmQuangHợp.xlsxXử_lý_tồn_kho_tháng_71" hidden="1">Xử_lý_tồn_kho_tháng_7[]</definedName>
    <definedName name="_xlcn.WorksheetConnection_TestBIPhạmQuangHợpversion1.xlsbTarget1" hidden="1">Target[]</definedName>
    <definedName name="ExternalData_1" localSheetId="8" hidden="1">'C2-DATA 1- TỒN KHO T7(đã xử lý)'!$A$1:$J$898</definedName>
    <definedName name="ExternalData_1" localSheetId="3" hidden="1">Target!$A$1:$D$43</definedName>
    <definedName name="Slicer_PIC">#N/A</definedName>
    <definedName name="Slicer_Tháng">#N/A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s>
  <extLst>
    <ext xmlns:x14="http://schemas.microsoft.com/office/spreadsheetml/2009/9/main" uri="{876F7934-8845-4945-9796-88D515C7AA90}">
      <x14:pivotCaches>
        <pivotCache cacheId="12"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Xử lý Doanh số_7b806659-45e5-4da4-b949-28d4e8dfbdc3" name="Xử lý Doanh số" connection="Query - Xử lý Doanh số"/>
          <x15:modelTable id="Target" name="Target" connection="WorksheetConnection_Test BI - Phạm Quang Hợp (version 1).xlsb!Target"/>
          <x15:modelTable id="Table7" name="Dim_NganhHang" connection="WorksheetConnection_Test BI - Phạm Quang Hợp.xlsx!Table7"/>
          <x15:modelTable id="Table6" name="Dim_ThoiGian" connection="WorksheetConnection_Test BI - Phạm Quang Hợp.xlsx!Table6"/>
          <x15:modelTable id="Xử_lý_tồn_kho_tháng_7" name="Xử_lý_tồn_kho_tháng_7" connection="WorksheetConnection_Test BI - Phạm Quang Hợp.xlsx!Xử_lý_tồn_kho_tháng_7"/>
        </x15:modelTables>
        <x15:modelRelationships>
          <x15:modelRelationship fromTable="Xử lý Doanh số" fromColumn="Danh mục" toTable="Dim_NganhHang" toColumn="Ngành hàng"/>
          <x15:modelRelationship fromTable="Xử lý Doanh số" fromColumn="Tháng" toTable="Dim_ThoiGian" toColumn="Tháng"/>
          <x15:modelRelationship fromTable="Target" fromColumn="Ngành hàng" toTable="Dim_NganhHang" toColumn="Ngành hàng"/>
          <x15:modelRelationship fromTable="Target" fromColumn="Tháng" toTable="Dim_ThoiGian" toColumn="Tháng"/>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6" l="1" a="1"/>
  <c r="K3" i="6" s="1"/>
  <c r="E6" i="2"/>
  <c r="E7" i="2"/>
  <c r="E8" i="2"/>
  <c r="E5" i="2"/>
  <c r="D76" i="13"/>
  <c r="C76" i="13"/>
  <c r="B7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DE2941-F25B-4F94-86B5-D59F11962246}" keepAlive="1" name="Query - Target" description="Connection to the 'Target' query in the workbook." type="5" refreshedVersion="8" background="1" saveData="1">
    <dbPr connection="Provider=Microsoft.Mashup.OleDb.1;Data Source=$Workbook$;Location=Target;Extended Properties=&quot;&quot;" command="SELECT * FROM [Target]"/>
  </connection>
  <connection id="2" xr16:uid="{3E129368-F4F3-4E78-A060-4EB3205A732E}" name="Query - Xử lý Doanh số" description="Connection to the 'Xử lý Doanh số' query in the workbook." type="100" refreshedVersion="8" minRefreshableVersion="5">
    <extLst>
      <ext xmlns:x15="http://schemas.microsoft.com/office/spreadsheetml/2010/11/main" uri="{DE250136-89BD-433C-8126-D09CA5730AF9}">
        <x15:connection id="fa77a396-4f2e-46eb-aba0-8f6e4c414cbb"/>
      </ext>
    </extLst>
  </connection>
  <connection id="3" xr16:uid="{925D2C86-D1BE-4104-89E9-BE62222F33E4}" keepAlive="1" name="Query - Xử lý tồn kho tháng 7" description="Connection to the 'Xử lý tồn kho tháng 7' query in the workbook." type="5" refreshedVersion="8" background="1" saveData="1">
    <dbPr connection="Provider=Microsoft.Mashup.OleDb.1;Data Source=$Workbook$;Location=&quot;Xử lý tồn kho tháng 7&quot;;Extended Properties=&quot;&quot;" command="SELECT * FROM [Xử lý tồn kho tháng 7]"/>
  </connection>
  <connection id="4" xr16:uid="{4654028D-816C-4C36-9185-749F7432AF4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81B48DAD-8372-4A27-A272-905C3E3D0B00}" name="WorksheetConnection_Test BI - Phạm Quang Hợp (version 1).xlsb!Target" type="102" refreshedVersion="8" minRefreshableVersion="5">
    <extLst>
      <ext xmlns:x15="http://schemas.microsoft.com/office/spreadsheetml/2010/11/main" uri="{DE250136-89BD-433C-8126-D09CA5730AF9}">
        <x15:connection id="Target">
          <x15:rangePr sourceName="_xlcn.WorksheetConnection_TestBIPhạmQuangHợpversion1.xlsbTarget1"/>
        </x15:connection>
      </ext>
    </extLst>
  </connection>
  <connection id="6" xr16:uid="{FA435898-743B-4CA2-9AC2-E726EC898932}" name="WorksheetConnection_Test BI - Phạm Quang Hợp.xlsx!Table6" type="102" refreshedVersion="8" minRefreshableVersion="5">
    <extLst>
      <ext xmlns:x15="http://schemas.microsoft.com/office/spreadsheetml/2010/11/main" uri="{DE250136-89BD-433C-8126-D09CA5730AF9}">
        <x15:connection id="Table6">
          <x15:rangePr sourceName="_xlcn.WorksheetConnection_TestBIPhạmQuangHợp.xlsxTable61"/>
        </x15:connection>
      </ext>
    </extLst>
  </connection>
  <connection id="7" xr16:uid="{0FF6B5A6-E2B0-4DA5-8036-EA4402AED4F2}" name="WorksheetConnection_Test BI - Phạm Quang Hợp.xlsx!Table7" type="102" refreshedVersion="8" minRefreshableVersion="5">
    <extLst>
      <ext xmlns:x15="http://schemas.microsoft.com/office/spreadsheetml/2010/11/main" uri="{DE250136-89BD-433C-8126-D09CA5730AF9}">
        <x15:connection id="Table7">
          <x15:rangePr sourceName="_xlcn.WorksheetConnection_TestBIPhạmQuangHợp.xlsxTable71"/>
        </x15:connection>
      </ext>
    </extLst>
  </connection>
  <connection id="8" xr16:uid="{7892C4D9-9493-4F78-8AE7-44D9889FDBFD}" name="WorksheetConnection_Test BI - Phạm Quang Hợp.xlsx!Xử_lý_tồn_kho_tháng_7" type="102" refreshedVersion="8" minRefreshableVersion="5">
    <extLst>
      <ext xmlns:x15="http://schemas.microsoft.com/office/spreadsheetml/2010/11/main" uri="{DE250136-89BD-433C-8126-D09CA5730AF9}">
        <x15:connection id="Xử_lý_tồn_kho_tháng_7">
          <x15:rangePr sourceName="_xlcn.WorksheetConnection_TestBIPhạmQuangHợp.xlsxXử_lý_tồn_kho_tháng_7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5">
    <s v="ThisWorkbookDataModel"/>
    <s v="{[Dim_ThoiGian].[Tháng].[All]}"/>
    <s v="{[Xử_lý_tồn_kho_tháng_7].[Danh mục].[All]}"/>
    <s v="{[Xử_lý_tồn_kho_tháng_7].[Danh mục].&amp;[MACBOOK CŨ]}"/>
    <s v="{[Xử_lý_tồn_kho_tháng_7].[Flag tồn kho].&amp;[Đã kiểm kê]}"/>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<sst xmlns="http://schemas.openxmlformats.org/spreadsheetml/2006/main" count="6804" uniqueCount="1306">
  <si>
    <t>Samsung Galaxy Note 10 Lite</t>
  </si>
  <si>
    <t>Samsung Galaxy Note 10+ (Plus)</t>
  </si>
  <si>
    <t>Vsmart Joy 3 2GB</t>
  </si>
  <si>
    <t>Apple iPad 10.2 2019 Wi-Fi 32GB Chính Hãng</t>
  </si>
  <si>
    <t>iPhone 11 Pro Max Chính hãng</t>
  </si>
  <si>
    <t>Samsung Galaxy A51</t>
  </si>
  <si>
    <t>Vsmart Joy 3 4GB</t>
  </si>
  <si>
    <t>Samsung Galaxy A71</t>
  </si>
  <si>
    <t>iPhone 11 128GB Chính hãng</t>
  </si>
  <si>
    <t>Samsung Galaxy S20+ (Plus)</t>
  </si>
  <si>
    <t>IPHONE CŨ</t>
  </si>
  <si>
    <t>Apple iPhone XS Max 64GB Cũ</t>
  </si>
  <si>
    <t>Xiaomi Redmi Note 9s 4G 64GB</t>
  </si>
  <si>
    <t>Vsmart Active 3 4GB Ram</t>
  </si>
  <si>
    <t>Samsung Galaxy A11</t>
  </si>
  <si>
    <t>iPhone SE 2020 Chính hãng VN/A</t>
  </si>
  <si>
    <t>Samsung Galaxy A31</t>
  </si>
  <si>
    <t>Oppo A92</t>
  </si>
  <si>
    <t>Samsung Galaxy M21</t>
  </si>
  <si>
    <t>Samsung Galaxy Tab A8 2019 (T295)</t>
  </si>
  <si>
    <t>iPhone 11 Pro Max 256GB Chính hãng</t>
  </si>
  <si>
    <t>Nokia 5.3</t>
  </si>
  <si>
    <t>Xiaomi Redmi 8 4GB</t>
  </si>
  <si>
    <t>Vsmart Star</t>
  </si>
  <si>
    <t>Nokia 2.3</t>
  </si>
  <si>
    <t>Samsung Galaxy Note 10</t>
  </si>
  <si>
    <t>Apple iPad Mini 5 Wifi 64GB Chính hãng</t>
  </si>
  <si>
    <t>Oppo A31</t>
  </si>
  <si>
    <t>Apple iPad 10.2 2019 Wi-Fi 128GB Chính hãng</t>
  </si>
  <si>
    <t>Apple Watch 3 42mm (GPS) Viền Nhôm Xám - Dây Đen Chính hãng (MTF32)</t>
  </si>
  <si>
    <t>Oppo Reno 3</t>
  </si>
  <si>
    <t>Nokia C2</t>
  </si>
  <si>
    <t>Realme 5i</t>
  </si>
  <si>
    <t>Samsung Galaxy S20 Ultra</t>
  </si>
  <si>
    <t>Apple iPhone XS 64GB Cũ</t>
  </si>
  <si>
    <t>Samsung Galaxy A21s</t>
  </si>
  <si>
    <t>Vsmart Star 3</t>
  </si>
  <si>
    <t>Apple MacBook Air 13 256GB 2020 Chính hãng</t>
  </si>
  <si>
    <t>Xiaomi Redmi Note 9 Pro 128GB</t>
  </si>
  <si>
    <t>Realme C3</t>
  </si>
  <si>
    <t>Xiaomi Redmi Note 9 3G</t>
  </si>
  <si>
    <t>Apple Watch 5 40mm (GPS) Viền Nhôm Vàng - Dây Hồng Chính hãng (MWV72)</t>
  </si>
  <si>
    <t xml:space="preserve"> iPhone SE 2020 128GB chính hãng VN/A</t>
  </si>
  <si>
    <t>Apple Watch 3 38 mm Viền Nhôm Bạc - Dây Trắng Chính hãng (MTEY2)</t>
  </si>
  <si>
    <t>OPPO A12 3GB</t>
  </si>
  <si>
    <t>Xiaomi Redmi Note 9</t>
  </si>
  <si>
    <t>Apple iPhone 7 32GB Chính hãng</t>
  </si>
  <si>
    <t>Realme 6</t>
  </si>
  <si>
    <t>APPLE IPHONE 8 64GB VÀNG CŨ - ĐẸP</t>
  </si>
  <si>
    <t>Xiaomi Redmi 8 3GB</t>
  </si>
  <si>
    <t>Apple Watch 5 44mm (GPS) Viền Nhôm Xám - Dây Đen Chính hãng (MWVF2)</t>
  </si>
  <si>
    <t>Xiaomi Redmi Note 8 32GB</t>
  </si>
  <si>
    <t>Xiaomi Redmi Note 9 Pro</t>
  </si>
  <si>
    <t>iPhone 11 128GB Cũ</t>
  </si>
  <si>
    <t>Samsung Galaxy A30s</t>
  </si>
  <si>
    <t>Realme C3i</t>
  </si>
  <si>
    <t>Apple iPhone XS Max 256GB Cũ</t>
  </si>
  <si>
    <t>Samsung Galaxy Tab S6 Lite</t>
  </si>
  <si>
    <t>Apple iPhone XR 128GB Chính hãng</t>
  </si>
  <si>
    <t>Apple iPhone 7 Plus 128GB cũ</t>
  </si>
  <si>
    <t>Apple iPhone XR 64GB Cũ</t>
  </si>
  <si>
    <t>Samsung Galaxy A80</t>
  </si>
  <si>
    <t>Vsmart Bee</t>
  </si>
  <si>
    <t>OPPO A12 4GB</t>
  </si>
  <si>
    <t>APPLE IPHONE SE 32GB XÁM CŨ - ĐẸP</t>
  </si>
  <si>
    <t>Samsung Galaxy Tab S6</t>
  </si>
  <si>
    <t>APPLE IPHONE 7 32GB BẠC CŨ - ĐẸP</t>
  </si>
  <si>
    <t>APPLE IPHONE 8 64GB XÁM CŨ - ĐẸP</t>
  </si>
  <si>
    <t>APPLE IPHONE 6S 32GB HỒNG - ĐỔI BẢO HÀNH</t>
  </si>
  <si>
    <t>APPLE IPHONE 6S PLUS 32GB XÁM CŨ - ĐẸP</t>
  </si>
  <si>
    <t>Apple Watch 5 40mm (GPS) Viền Nhôm Xám - Dây Đen Chính hãng (MWV82)</t>
  </si>
  <si>
    <t>Samsung Galaxy Watch Active 2 4G LTE 40mm Vỏ Nhôm</t>
  </si>
  <si>
    <t>APPLE IPHONE 7 32GB ĐEN CŨ - ĐẸP</t>
  </si>
  <si>
    <t>Apple iPhone 7 32GB Cũ</t>
  </si>
  <si>
    <t>APPLE IPHONE 7 PLUS 32GB ĐEN CŨ - ĐẸP</t>
  </si>
  <si>
    <t>APPLE IPHONE 8 64GB BẠC CŨ - ĐẸP</t>
  </si>
  <si>
    <t>iPhone 11 Pro 64GB cũ</t>
  </si>
  <si>
    <t>Apple Watch 5 44mm (4G) Viền Nhôm Xám - Dây Đen Chính hãng (MWWE2)</t>
  </si>
  <si>
    <t>Apple iPad 10.2 2019 4G 128GB</t>
  </si>
  <si>
    <t>Apple iPad Mini 5 4G 64GB Chính hãng</t>
  </si>
  <si>
    <t>Apple iPhone X 64GB cũ</t>
  </si>
  <si>
    <t>APPLE IPHONE X 64GB XÁM - ĐỔI BẢO HÀNH</t>
  </si>
  <si>
    <t>Samsung Galaxy Watch Active 2 40mm Vỏ Thép</t>
  </si>
  <si>
    <t>APPLE IPHONE 7 32GB VÀNG CŨ - ĐẸP</t>
  </si>
  <si>
    <t>APPLE IPHONE 7 PLUS 32GB HỒNG CŨ - ĐẸP</t>
  </si>
  <si>
    <t>iPhone 11 64GB Chính hãng</t>
  </si>
  <si>
    <t>Huawei Y9s 2019</t>
  </si>
  <si>
    <t>Oppo Reno 3 Pro</t>
  </si>
  <si>
    <t>APPLE IPHONE 6S 32GB XÁM - ĐỔI BẢO HÀNH</t>
  </si>
  <si>
    <t>iPhone 11 128GB 2 Sim Cũ</t>
  </si>
  <si>
    <t>Samsung Galaxy S20</t>
  </si>
  <si>
    <t>Xiaomi Mi Note 10 Lite 64GB</t>
  </si>
  <si>
    <t>Huawei P30 Lite</t>
  </si>
  <si>
    <t>IPAD CŨ</t>
  </si>
  <si>
    <t>iPhone 11 Pro Max 64GB Cũ</t>
  </si>
  <si>
    <t>Apple iPhone XS 64GB</t>
  </si>
  <si>
    <t>SAMSUNG CŨ</t>
  </si>
  <si>
    <t>APPLE IPHONE 8 PLUS 256GB XÁM CŨ - ĐẸP</t>
  </si>
  <si>
    <t>VSMART CŨ</t>
  </si>
  <si>
    <t>APPLE IPHONE 7 128GB VÀNG CŨ - ĐẸP</t>
  </si>
  <si>
    <t>APPLE IPHONE X 64GB BẠC - ĐỔI BẢO HÀNH</t>
  </si>
  <si>
    <t>iPhone 11 64GB Cũ</t>
  </si>
  <si>
    <t>Oppo Find X2</t>
  </si>
  <si>
    <t>Samsung Galaxy A01</t>
  </si>
  <si>
    <t>Xiaomi Redmi Note 8 Pro</t>
  </si>
  <si>
    <t>APPLE IPHONE 8 PLUS 64GB VÀNG CŨ - ĐẸP</t>
  </si>
  <si>
    <t>Realme 6 8GB</t>
  </si>
  <si>
    <t>APPLE IPHONE 6S 32GB VÀNG - ĐỔI BẢO HÀNH</t>
  </si>
  <si>
    <t>APPLE IPHONE 7 128GB HỒNG CŨ - ĐẸP</t>
  </si>
  <si>
    <t>APPLE IPHONE 8 PLUS 64GB XÁM CŨ - ĐẸP</t>
  </si>
  <si>
    <t>Huawei Y6p</t>
  </si>
  <si>
    <t>APPLE IPHONE 7 128GB ĐEN CŨ - ĐẸP</t>
  </si>
  <si>
    <t>APPLE IPHONE 8 64GB VÀNG - ĐỔI BẢO HÀNH</t>
  </si>
  <si>
    <t>APPLE IPHONE SE 32GB BẠC CŨ - ĐẸP</t>
  </si>
  <si>
    <t>Apple iPhone XR 128GB Cũ</t>
  </si>
  <si>
    <t>Apple iPhone XS Max 512GB</t>
  </si>
  <si>
    <t>Apple iPhone XS Max 64GB</t>
  </si>
  <si>
    <t>Apple iPhone XS Max 64GB Đã kích hoạt bảo hành</t>
  </si>
  <si>
    <t>iPhone 11 Pro 256GB Chính hãng</t>
  </si>
  <si>
    <t>Apple Macbook Pro 13 128GB 2019 Bạc Chính hãng (MUHQ2)</t>
  </si>
  <si>
    <t>APPLE IPHONE 6S PLUS 16GB XÁM CŨ - ĐẸP</t>
  </si>
  <si>
    <t>OPPO CŨ</t>
  </si>
  <si>
    <t>Oppo Reno 2F Cũ</t>
  </si>
  <si>
    <t>Huawei Mate 30 Pro</t>
  </si>
  <si>
    <t>Apple iPad Air 10.5 Wifi 64GB - Đổi bảo hành</t>
  </si>
  <si>
    <t>NOKIA CŨ</t>
  </si>
  <si>
    <t>Nokia 7.2 cũ</t>
  </si>
  <si>
    <t>Apple iPad Pro 11 2020 WiFi 256GB Chính Hãng</t>
  </si>
  <si>
    <t>Realme 5s</t>
  </si>
  <si>
    <t>APPLE IPAD AIR 2 4G 64GB BẠC CŨ - ĐẸP</t>
  </si>
  <si>
    <t>Apple iPhone 6S 32GB</t>
  </si>
  <si>
    <t>APPLE IPHONE 8 PLUS 64GB BẠC CŨ - ĐẸP</t>
  </si>
  <si>
    <t>APPLE IPHONE SE 32GB VÀNG CŨ - ĐẸP</t>
  </si>
  <si>
    <t>iPhone 11 64GB</t>
  </si>
  <si>
    <t>Samsung Galaxy A80 Cũ</t>
  </si>
  <si>
    <t>Huawei Nova 7i</t>
  </si>
  <si>
    <t>Oppo A31 6GB</t>
  </si>
  <si>
    <t>Xiaomi Redmi Note 8 Pro 128GB</t>
  </si>
  <si>
    <t>Apple iPhone 8 Plus 64GB Chính hãng - Đã kích hoạt bảo hành</t>
  </si>
  <si>
    <t>APPLE IPHONE SE 32GB HỒNG CŨ - ĐẸP</t>
  </si>
  <si>
    <t>Apple iPhone X 256GB</t>
  </si>
  <si>
    <t>Samsung Galaxy A01 Cũ</t>
  </si>
  <si>
    <t>XIAOMI CŨ</t>
  </si>
  <si>
    <t>HUAWEI CŨ</t>
  </si>
  <si>
    <t>Apple iPad Air 10.5 Wifi 64GB Đã kích hoạt bảo hành</t>
  </si>
  <si>
    <t>APPLE IPHONE 6S 32GB BẠC CŨ - ĐẸP</t>
  </si>
  <si>
    <t>APPLE IPHONE 7 PLUS 128GB HỒNG CŨ - ĐẸP</t>
  </si>
  <si>
    <t>Apple iPhone XS 256GB Cũ</t>
  </si>
  <si>
    <t>iPhone 11 128GB 2 Sim</t>
  </si>
  <si>
    <t>iPhone 11 Pro Max 256GB Cũ</t>
  </si>
  <si>
    <t>iPhone 11 Pro Max 64GB</t>
  </si>
  <si>
    <t>Vsmart Active 3 6GB</t>
  </si>
  <si>
    <t>Apple Watch 5 40mm (4G) Viền Nhôm Bạc - Dây Trắng Chính hãng (MWX12)</t>
  </si>
  <si>
    <t>Apple iPad Air 10.5 Wifi 256GB Chính hãng</t>
  </si>
  <si>
    <t>Apple MacBook Air 13 inch 128GB MQD32 Chính hãng</t>
  </si>
  <si>
    <t>Realme 5i 3GB 32GB</t>
  </si>
  <si>
    <t>APPLE WATCH CŨ</t>
  </si>
  <si>
    <t>Apple Watch 3 38mm (GPS) Viền Nhôm Xám - Dây đen Chính hãng</t>
  </si>
  <si>
    <t>APPLE IPHONE 6S 64GB HỒNG CŨ - ĐẸP</t>
  </si>
  <si>
    <t>APPLE IPHONE 6S PLUS 32GB VÀNG CŨ - ĐẸP</t>
  </si>
  <si>
    <t>APPLE IPHONE 7 128GB BẠC CŨ - ĐẸP</t>
  </si>
  <si>
    <t>APPLE IPHONE 7 PLUS 32GB VÀNG CŨ - ĐẸP</t>
  </si>
  <si>
    <t>Apple iPhone 8 64GB cũ</t>
  </si>
  <si>
    <t>Apple iPhone X 256GB cũ</t>
  </si>
  <si>
    <t>APPLE IPHONE X 64GB XÁM CŨ - TRẦY XƯỚC</t>
  </si>
  <si>
    <t>Nokia 2.2 Cũ</t>
  </si>
  <si>
    <t>Samsung Galaxy A71 Cũ</t>
  </si>
  <si>
    <t>Apple Watch 3 Nike+ 38mm (GPS) Viền Nhôm Xám - Dây Đen Chính hãng (MTF12)</t>
  </si>
  <si>
    <t>Apple iPad Mini 5 Wifi 256GB Chính hãng</t>
  </si>
  <si>
    <t>Nokia 2720 Flip</t>
  </si>
  <si>
    <t>APPLE IPAD 9.7 2017 4G 32GB BẠC CŨ - ĐẸP</t>
  </si>
  <si>
    <t>Apple iPad Pro 11 2018 4G 64GB Cũ</t>
  </si>
  <si>
    <t>APPLE IPHONE 6S 16GB HỒNG CŨ - ĐẸP</t>
  </si>
  <si>
    <t>APPLE IPHONE 6S 16GB XÁM CŨ - ĐẸP</t>
  </si>
  <si>
    <t>APPLE IPHONE 6S 32GB XÁM CŨ - ĐẸP</t>
  </si>
  <si>
    <t>REALME CŨ</t>
  </si>
  <si>
    <t>Realme 5 Pro Cũ</t>
  </si>
  <si>
    <t>Samsung Galaxy A70 Cũ</t>
  </si>
  <si>
    <t>Apple iPad 10.2 2019 4G 32GB</t>
  </si>
  <si>
    <t xml:space="preserve"> iPhone SE 2020 256GB chính hãng VN/A</t>
  </si>
  <si>
    <t>Realme C2 2GB 32GB</t>
  </si>
  <si>
    <t>Xiaomi Mi Note 10 Pro</t>
  </si>
  <si>
    <t>APPLE IPAD AIR 4G 16GB BẠC CŨ - ĐẸP</t>
  </si>
  <si>
    <t>APPLE IPHONE 6S 16GB BẠC CŨ - ĐẸP</t>
  </si>
  <si>
    <t>APPLE IPHONE 6S 32GB HỒNG CŨ - ĐẸP</t>
  </si>
  <si>
    <t>APPLE IPHONE 6S PLUS 64GB BẠC CŨ - ĐẸP</t>
  </si>
  <si>
    <t>APPLE IPHONE 7 PLUS 32GB ĐEN - ĐỔI BẢO HÀNH (VN/A)</t>
  </si>
  <si>
    <t>APPLE IPHONE 8 64GB ĐỎ - ĐỔI BẢO HÀNH</t>
  </si>
  <si>
    <t>Apple iPhone 8 Plus 64GB cũ</t>
  </si>
  <si>
    <t>APPLE IPHONE 8 PLUS 64GB XÁM CŨ - TRẦY XƯỚC</t>
  </si>
  <si>
    <t>Nokia 6.1 Plus</t>
  </si>
  <si>
    <t>Samsung Galaxy A50s Cũ</t>
  </si>
  <si>
    <t>Samsung Galaxy A51 Cũ</t>
  </si>
  <si>
    <t>Samsung Galaxy Note 10+ (Plus) cũ</t>
  </si>
  <si>
    <t>Samsung Galaxy Watch Active 2 đã kích hoạt</t>
  </si>
  <si>
    <t>Xiaomi Mi Note 10 Lite</t>
  </si>
  <si>
    <t>Apple Watch 5 44mm (GPS) Viền Nhôm Vàng - Dây Hồng Chính hãng (MWVE2)</t>
  </si>
  <si>
    <t>Apple iPad Pro 11 2020 4G 256GB Chính Hãng</t>
  </si>
  <si>
    <t>Nokia 2.2</t>
  </si>
  <si>
    <t>Samsung Galaxy Watch Active 2 44mm Under Armour</t>
  </si>
  <si>
    <t>Samsung Galaxy Z Flip</t>
  </si>
  <si>
    <t>ASUS CŨ</t>
  </si>
  <si>
    <t>ASUS ZenFone Max Pro M2 3GB Đã kích hoạt bảo hành</t>
  </si>
  <si>
    <t>Huawei P40 Pro</t>
  </si>
  <si>
    <t>Apple iPad 10.2 2019 4G 32GB Cũ</t>
  </si>
  <si>
    <t>APPLE IPAD 9.7 2017 4G 32GB VÀNG CŨ - ĐẸP</t>
  </si>
  <si>
    <t>Apple iPad Air 10.5 Wifi 64GB Cũ</t>
  </si>
  <si>
    <t>APPLE IPHONE 6S 64GB BẠC CŨ - ĐẸP</t>
  </si>
  <si>
    <t>APPLE IPHONE 6S 64GB VÀNG CŨ - ĐẸP</t>
  </si>
  <si>
    <t>APPLE IPHONE 6S 64GB XÁM CŨ - ĐẸP</t>
  </si>
  <si>
    <t>APPLE IPHONE 6S PLUS 32GB HỒNG CŨ - ĐẸP</t>
  </si>
  <si>
    <t>APPLE IPHONE 6S PLUS 64GB HỒNG CŨ - ĐẸP</t>
  </si>
  <si>
    <t>APPLE IPHONE 7 PLUS 32GB ĐEN CŨ - TRẦY XƯỚC</t>
  </si>
  <si>
    <t>APPLE IPHONE X 256GB BẠC CŨ - TRẦY XƯỚC</t>
  </si>
  <si>
    <t>APPLE IPHONE X 64GB BẠC CŨ - TRẦY XƯỚC</t>
  </si>
  <si>
    <t>KHÁC CŨ</t>
  </si>
  <si>
    <t>Realme 3 Cũ</t>
  </si>
  <si>
    <t>NOKIA 3.2 2GB 16GB ĐEN CŨ - ĐẸP</t>
  </si>
  <si>
    <t>Nokia 5.1 Plus 32GB Cũ</t>
  </si>
  <si>
    <t>Samsung Galaxy S10+ (Plus) Cũ</t>
  </si>
  <si>
    <t>Samsung Galaxy S10+ (Plus) Đã kích hoạt bảo hành</t>
  </si>
  <si>
    <t>SAMSUNG GALAXY S20 ULTRA ĐEN CŨ - ĐẸP</t>
  </si>
  <si>
    <t>POCO F2 PRO 6G 128GB</t>
  </si>
  <si>
    <t>Xiaomi Redmi 9 32GB</t>
  </si>
  <si>
    <t>Apple Watch 5 44mm (4G) Viền Thép Xám - Dây Đen Chính hãng (MWWK2)</t>
  </si>
  <si>
    <t>Huawei P40</t>
  </si>
  <si>
    <t>Oppo Reno 2F</t>
  </si>
  <si>
    <t>Realme XT</t>
  </si>
  <si>
    <t>Apple Watch 3 42mm (GPS) Viền Nhôm Bạc - Dây Bạc Chính hãng (MTF22)</t>
  </si>
  <si>
    <t>Apple Watch 5 44mm (GPS) Viền Nhôm Xám - Dây Đen Chính hãng (MWVF2) đã kích hoạt</t>
  </si>
  <si>
    <t>ASUS ROG Phone 2 512GB cũ</t>
  </si>
  <si>
    <t>APPLE IPAD 9.7 2017 4G 32GB XÁM CŨ - ĐẸP</t>
  </si>
  <si>
    <t>Apple iPad 9.7 2018 Wi-Fi 32GB Cũ</t>
  </si>
  <si>
    <t>APPLE IPAD AIR 2 4G 32GB BẠC CŨ - ĐẸP</t>
  </si>
  <si>
    <t>Apple iPad Mini 5 Wifi 64GB Cũ</t>
  </si>
  <si>
    <t>APPLE IPHONE 6S 32GB VÀNG - ĐỔI BẢO HÀNH(VN/A)</t>
  </si>
  <si>
    <t>APPLE IPHONE 6S PLUS 64GB VÀNG CŨ - ĐẸP</t>
  </si>
  <si>
    <t>APPLE IPHONE 6S PLUS 64GB XÁM CŨ - ĐẸP</t>
  </si>
  <si>
    <t>APPLE IPHONE 6S PLUS 64GB XÁM CŨ - TRẦY XƯỚC</t>
  </si>
  <si>
    <t>APPLE IPHONE 7 32GB VÀNG CŨ - TRẦY XƯỚC</t>
  </si>
  <si>
    <t>APPLE IPHONE 7 PLUS 128GB BẠC CŨ - ĐẸP</t>
  </si>
  <si>
    <t>APPLE IPHONE 7 PLUS 128GB HỒNG CŨ - TRẦY XƯỚC</t>
  </si>
  <si>
    <t>APPLE IPHONE 7 PLUS 128GB VÀNG CŨ - ĐẸP</t>
  </si>
  <si>
    <t>APPLE IPHONE 7 PLUS 256GB HỒNG CŨ - ĐẸP</t>
  </si>
  <si>
    <t>APPLE IPHONE 7 PLUS 32GB VÀNG - ĐỔI BẢO HÀNH (VN/A)</t>
  </si>
  <si>
    <t>APPLE IPHONE 7 PLUS 32GB VÀNG CŨ - TRẦY XƯỚC</t>
  </si>
  <si>
    <t>Apple iPhone 8 64GB</t>
  </si>
  <si>
    <t>APPLE IPHONE 8 PLUS 256GB BẠC CŨ - ĐẸP</t>
  </si>
  <si>
    <t>APPLE IPHONE 8 PLUS 256GB VÀNG CŨ - ĐẸP</t>
  </si>
  <si>
    <t>APPLE IPHONE 8 PLUS 64GB VÀNG CŨ - TRẦY XƯỚC</t>
  </si>
  <si>
    <t>Apple iPhone SE 64GB cũ</t>
  </si>
  <si>
    <t>Apple iPhone X 64GB</t>
  </si>
  <si>
    <t>APPLE IPHONE X 64GB BẠC - ĐÃ KÍCH HOẠT</t>
  </si>
  <si>
    <t>APPLE IPHONE X 64GB BẠC CHÍNH HÃNG (VN/A) - ĐÃ KÍCH HOẠT</t>
  </si>
  <si>
    <t>Apple iPhone XR 128GB 2 Sim Cũ</t>
  </si>
  <si>
    <t>Apple iPhone XR 64GB Chính hãng VN/A</t>
  </si>
  <si>
    <t>Apple iPhone XS 512GB Cũ</t>
  </si>
  <si>
    <t>Apple iPhone XS Max 256GB</t>
  </si>
  <si>
    <t>Apple iPhone XS Max 256GB 2 SIM Cũ</t>
  </si>
  <si>
    <t>Apple iPhone XS Max 256GB Chính hãng Đã kích hoạt bảo hành</t>
  </si>
  <si>
    <t>Apple iPhone XS Max 512GB Cũ</t>
  </si>
  <si>
    <t>iPhone 11 Pro 256GB</t>
  </si>
  <si>
    <t>iPhone 11 Pro Max 256GB</t>
  </si>
  <si>
    <t>Vsmart Joy 2 Plus 2GB</t>
  </si>
  <si>
    <t>MACBOOK CŨ</t>
  </si>
  <si>
    <t>Macbook Pro 13 256GB 2015 (MF840) Cũ</t>
  </si>
  <si>
    <t>Nokia 3.1 16GB Cũ</t>
  </si>
  <si>
    <t>Nokia 3.2 3GB Cũ</t>
  </si>
  <si>
    <t>Nokia 6.1 Plus Cũ</t>
  </si>
  <si>
    <t>Nokia 7.2</t>
  </si>
  <si>
    <t>Nokia 8.1 Cũ</t>
  </si>
  <si>
    <t>Realme 3 64GB Đã kích hoạt bảo hành</t>
  </si>
  <si>
    <t>Realme 6 Pro 8G 128G</t>
  </si>
  <si>
    <t>SAMSUNG GALAXY A01 2GB 16GB XANH CŨ - TRẦY XƯỚC</t>
  </si>
  <si>
    <t>SAMSUNG GALAXY A01 2GB 16GB XANH CŨ - XƯỚC CẤN</t>
  </si>
  <si>
    <t>Samsung Galaxy A20 Cũ</t>
  </si>
  <si>
    <t>Samsung Galaxy A31-Trắng</t>
  </si>
  <si>
    <t>SAMSUNG GALAXY A50S 4GB 64GB ĐEN CŨ - XƯỚC CẤN</t>
  </si>
  <si>
    <t>Samsung Galaxy A70</t>
  </si>
  <si>
    <t>Samsung Galaxy Note 10 Lite Cũ</t>
  </si>
  <si>
    <t>Samsung Galaxy S10 Cũ</t>
  </si>
  <si>
    <t>Vsmart Active 3 4GB Ram Cũ</t>
  </si>
  <si>
    <t>Vsmart Live 6GB</t>
  </si>
  <si>
    <t>Vsmart Live 6GB Cũ</t>
  </si>
  <si>
    <t>Redmi Note 7 32GB Cũ</t>
  </si>
  <si>
    <t>Apple Watch 3 38mm (GPS) Viền Nhôm Bạc - Dây Trắng (MTEY2)</t>
  </si>
  <si>
    <t>Apple Watch 3 38mm (GPS) Viền Nhôm Bạc - Dây Trắng (MTEY2) Cũ</t>
  </si>
  <si>
    <t>Apple Watch 3 38mm (GPS) Viền Nhôm Xám - Dây đen (MTF02)</t>
  </si>
  <si>
    <t>Apple Watch 3 42mm (GPS) Viền Nhôm Xám - Dây Đen (MTF32)</t>
  </si>
  <si>
    <t>Apple Watch 3 42mm (GPS) Viền Nhôm Xám - Dây Đen (MTF32) Cũ</t>
  </si>
  <si>
    <t>Apple Watch 3 42mm Viền Nhôm Xám - Dây Đen (MQL12) Cũ</t>
  </si>
  <si>
    <t>Apple Watch 4 44mm (GPS) Viền Nhôm Xám - Dây Đen (MU6D2) Cũ</t>
  </si>
  <si>
    <t>Apple Watch 4 Nike+ 40mm (GPS) Viền Nhôm Bạc - Dây Đen (MU6H2) Cũ</t>
  </si>
  <si>
    <t>Apple Watch 5 40mm (4G) Viền Nhôm Vàng - Dây Hồng Chính hãng (MWX22/MWWP2)</t>
  </si>
  <si>
    <t>Apple Watch 5 40mm (4G) Viền Thép Vàng - Dây Vàng  (MWX62)</t>
  </si>
  <si>
    <t>Apple Watch 5 40mm (GPS) Viền Nhôm Xám - Dây Đen Chính hãng (MWV82) đã kích hoạt</t>
  </si>
  <si>
    <t>Apple Watch 5 Nike+ 40mm (4G) Viền Nhôm Bạc - Dây Cao Su Đen Chính hãng (MX3C2)</t>
  </si>
  <si>
    <t>ASUS ZenFone Max Pro M2 3GB Cũ</t>
  </si>
  <si>
    <t>Huawei P30 Lite Cũ</t>
  </si>
  <si>
    <t>Apple iPad 9.7 2018 Wi-Fi 128GB Cũ</t>
  </si>
  <si>
    <t>Apple iPad Air 10.5 Wifi 256GB Chính hãng đã kích hoạt</t>
  </si>
  <si>
    <t>APPLE IPAD AIR 2 4G 32GB VÀNG CŨ - ĐẸP</t>
  </si>
  <si>
    <t>APPLE IPAD AIR 2 4G 64GB VÀNG CŨ - ĐẸP</t>
  </si>
  <si>
    <t>APPLE IPAD AIR 4G 16GB XÁM CŨ - ĐẸP</t>
  </si>
  <si>
    <t>APPLE IPAD AIR 4G 32GB XÁM CŨ - ĐẸP</t>
  </si>
  <si>
    <t>APPLE IPAD MINI 3 4G 16GB VÀNG CŨ - ĐẸP</t>
  </si>
  <si>
    <t>Apple iPad Mini 4 4G 64GB cũ</t>
  </si>
  <si>
    <t>Apple iPad Mini 5 4G 64GB Cũ</t>
  </si>
  <si>
    <t>Apple iPad Mini 5 Wifi 64GB</t>
  </si>
  <si>
    <t>Apple iPad Pro 10.5 4G 256GB Đổi bảo hành</t>
  </si>
  <si>
    <t>Apple iPad Pro 11 2018 Wi-fi 25GB</t>
  </si>
  <si>
    <t>Apple iPad Pro 11 2018 Wi-fi 64GB - Đổi bảo hành</t>
  </si>
  <si>
    <t>Apple iPad Pro 11 2018 Wi-fi 64GB Chính hãng - Đã kích hoạt bảo hành</t>
  </si>
  <si>
    <t>Apple iPad Pro 9.7 4G 128GB Cũ</t>
  </si>
  <si>
    <t xml:space="preserve"> iPhone 8 Plus 128GB Chính hãng</t>
  </si>
  <si>
    <t>APPLE IPHONE 11 128GB 2 SIM TÍM - ĐỔI BẢO HÀNH</t>
  </si>
  <si>
    <t>APPLE IPHONE 11 PRO MAX 64GB BẠC CŨ - TRẦY XƯỚC</t>
  </si>
  <si>
    <t>APPLE IPHONE 6 64GB BẠC CŨ - ĐẸP</t>
  </si>
  <si>
    <t>APPLE IPHONE 6 64GB BẠC CŨ - TRẦY XƯỚC</t>
  </si>
  <si>
    <t>APPLE IPHONE 6 64GB VÀNG CŨ - ĐẸP</t>
  </si>
  <si>
    <t>APPLE IPHONE 6 64GB VÀNG CŨ - TRẦY XƯỚC</t>
  </si>
  <si>
    <t>APPLE IPHONE 6 PLUS 64GB XÁM CŨ - ĐẸP</t>
  </si>
  <si>
    <t>APPLE IPHONE 6S 32GB BẠC - ĐỔI BẢO HÀNH(VN/A)</t>
  </si>
  <si>
    <t>APPLE IPHONE 6S 32GB VÀNG CŨ - ĐẸP</t>
  </si>
  <si>
    <t>APPLE IPHONE 6S PLUS 16GB BẠC CŨ - TRẦY XƯỚC</t>
  </si>
  <si>
    <t>APPLE IPHONE 6S PLUS 16GB HỒNG CŨ - ĐẸP</t>
  </si>
  <si>
    <t>APPLE IPHONE 6S PLUS 16GB VÀNG CŨ - ĐẸP</t>
  </si>
  <si>
    <t>Apple iPhone 6S Plus 32GB</t>
  </si>
  <si>
    <t>APPLE IPHONE 6S PLUS 32GB BẠC CŨ - TRẦY XƯỚC</t>
  </si>
  <si>
    <t>APPLE IPHONE 7 128GB ĐEN BÓNG CŨ - ĐẸP</t>
  </si>
  <si>
    <t>APPLE IPHONE 7 128GB ĐEN CŨ - TRẦY XƯỚC</t>
  </si>
  <si>
    <t>APPLE IPHONE 7 32GB BẠC - ĐỔI BẢO HÀNH (VN/A)</t>
  </si>
  <si>
    <t>APPLE IPHONE 7 32GB ĐEN - ĐỔI BẢO HÀNH</t>
  </si>
  <si>
    <t>APPLE IPHONE 7 PLUS 128GB ĐEN CŨ - TRẦY XƯỚC</t>
  </si>
  <si>
    <t>APPLE IPHONE 7 PLUS 256GB ĐEN CŨ - TRẦY XƯỚC</t>
  </si>
  <si>
    <t>APPLE IPHONE 7 PLUS 32GB BẠC CŨ - TRẦY XƯỚC</t>
  </si>
  <si>
    <t>Apple iPhone 7 Plus 32GB Chính hãng Đã kích hoạt bảo hành</t>
  </si>
  <si>
    <t>Apple iPhone 7 Plus 32GB cũ</t>
  </si>
  <si>
    <t>APPLE IPHONE 7 PLUS 32GB VÀNG - ĐỔI BẢO HÀNH</t>
  </si>
  <si>
    <t>APPLE IPHONE 8 64GB BẠC CŨ - TRẦY XƯỚC</t>
  </si>
  <si>
    <t>APPLE IPHONE 8 64GB VÀNG CŨ - TRẦY XƯỚC</t>
  </si>
  <si>
    <t>Apple iPhone 8 Plus 256GB cũ</t>
  </si>
  <si>
    <t>APPLE IPHONE 8 PLUS 256GB XÁM - ĐỔI BẢO HÀNH (VN/A)</t>
  </si>
  <si>
    <t>APPLE IPHONE SE 64GB BẠC CŨ - ĐẸP</t>
  </si>
  <si>
    <t>APPLE IPHONE SE 64GB XÁM CŨ - ĐẸP</t>
  </si>
  <si>
    <t>APPLE IPHONE X 256GB XÁM - ĐỔI BẢO HÀNH (VN/A)</t>
  </si>
  <si>
    <t>APPLE IPHONE X 64GB BẠC CŨ - XƯỚC CẤN</t>
  </si>
  <si>
    <t>Apple iPhone X 64GB Chính hãng</t>
  </si>
  <si>
    <t>Apple iPhone XR 256GB Chính hãng - Đã kích hoạt bảo hành Đỏ</t>
  </si>
  <si>
    <t>Apple iPhone XR 256GB Cũ</t>
  </si>
  <si>
    <t>Apple iPhone XS 64GB Đổi bảo hành</t>
  </si>
  <si>
    <t>Apple iPhone XS Max 64GB Chính hãng VN/A</t>
  </si>
  <si>
    <t>APPLE IPHONE XS MAX 64GB VÀNG</t>
  </si>
  <si>
    <t>iPhone 11 128GB (VN/A)</t>
  </si>
  <si>
    <t>iPhone 11 256GB</t>
  </si>
  <si>
    <t>iPhone 11 Pro 64GB</t>
  </si>
  <si>
    <t>ITEL IT2580 ĐEN CŨ - ĐẸP</t>
  </si>
  <si>
    <t>Vsmart Bee cũ</t>
  </si>
  <si>
    <t>Apple Macbook Air 13 inch 128GB MD231 Cũ</t>
  </si>
  <si>
    <t>Apple MacBook Air 13 inch 128GB MQD32 Cũ</t>
  </si>
  <si>
    <t>Apple MacBook Pro 13 inch MF839 Cũ</t>
  </si>
  <si>
    <t>Apple MacBook Pro 15 inch MJLQ2 Cũ</t>
  </si>
  <si>
    <t>Apple MacBook Pro 15 inch MJLT2 cũ</t>
  </si>
  <si>
    <t>Macbook Air 13 128GB 2019 Xám (MVFH2)</t>
  </si>
  <si>
    <t>NOKIA 2.2 BẠC CŨ - TRẦY XƯỚC</t>
  </si>
  <si>
    <t>Nokia 3.2 2GB Cũ</t>
  </si>
  <si>
    <t>Nokia 3.2 3GB</t>
  </si>
  <si>
    <t>NOKIA 3.2 3GB 32GB ĐEN CŨ - XƯỚC CẤN</t>
  </si>
  <si>
    <t>NOKIA 6.1 PLUS ĐEN CŨ - TRẦY XƯỚC</t>
  </si>
  <si>
    <t>Oppo A9 2020 cũ</t>
  </si>
  <si>
    <t>OPPO A9 2020 XANH CŨ - TRẦY XƯỚC</t>
  </si>
  <si>
    <t>Oppo F11 Pro Cũ</t>
  </si>
  <si>
    <t>OPPO RENO 2F XANH CŨ - TRẦY XƯỚC</t>
  </si>
  <si>
    <t>REALME 3 4G 64GB ĐEN CŨ - XƯỚC CẤN</t>
  </si>
  <si>
    <t>REALME 3 PRO 64GB TÍM CŨ - XƯỚC CẤN</t>
  </si>
  <si>
    <t>REALME 3 PRO 64GB XANH CŨ - XƯỚC CẤN</t>
  </si>
  <si>
    <t>Realme 5 Pro 4g Cũ</t>
  </si>
  <si>
    <t>REALME 6I 4G 128G TRẮNG CŨ - ĐẸP</t>
  </si>
  <si>
    <t>Đồng hồ thông minh Samsung Galaxy Fit đã kích hoạt</t>
  </si>
  <si>
    <t>Samsung Galaxy A10 cũ</t>
  </si>
  <si>
    <t>SAMSUNG GALAXY A10S 2GB 32GB XANH CŨ - XƯỚC CẤN</t>
  </si>
  <si>
    <t>Samsung Galaxy A10s Cũ</t>
  </si>
  <si>
    <t>SAMSUNG GALAXY A11 3GB 32GB XANH (A115F) CŨ - ĐẸP</t>
  </si>
  <si>
    <t>SAMSUNG GALAXY A20S 3GB 32GB XANH CŨ - TRẦY XƯỚC</t>
  </si>
  <si>
    <t>Samsung Galaxy A30 32GB Cũ</t>
  </si>
  <si>
    <t>SAMSUNG GALAXY A30S 4GB 64GB ĐEN CŨ - XƯỚC CẤN</t>
  </si>
  <si>
    <t>SAMSUNG GALAXY A50 4GB 64GB XANH CŨ - XƯỚC CẤN</t>
  </si>
  <si>
    <t>Samsung Galaxy A50 Cũ</t>
  </si>
  <si>
    <t>SAMSUNG GALAXY A51 6GB 128GB ĐEN CŨ - XƯỚC CẤN</t>
  </si>
  <si>
    <t>Samsung Galaxy A70 Đã kích hoạt bảo hành</t>
  </si>
  <si>
    <t>SAMSUNG GALAXY A80 8GB 128GB VÀNG CŨ - XƯỚC CẤN</t>
  </si>
  <si>
    <t>Samsung Galaxy M21 Cũ</t>
  </si>
  <si>
    <t>Samsung Galaxy Note 10 Cũ</t>
  </si>
  <si>
    <t>Samsung Galaxy Note 9 Cũ</t>
  </si>
  <si>
    <t>SAMSUNG GALAXY S20 XÁM (G980) CŨ - ĐẸP</t>
  </si>
  <si>
    <t>Samsung Galaxy Tab S6 cũ</t>
  </si>
  <si>
    <t>SAMSUNG GALAXY TAB S6 LITE XANH (P615) CŨ - ĐẸP</t>
  </si>
  <si>
    <t>Samsung Galaxy Watch Active 2 4G LTE 44mm Vỏ Thép</t>
  </si>
  <si>
    <t>SAMSUNG GALAXY WATCH ACTIVE ROSE GOLD SM-R500 CŨ</t>
  </si>
  <si>
    <t>Samsung Galaxy Watch Active SM-R500 Đã kích hoạt bảo hành</t>
  </si>
  <si>
    <t>APPLE IPAD MINI 5 WIFI 64GB XÁM CŨ - TRẦY XƯỚC</t>
  </si>
  <si>
    <t>VSMART ACTIVE 3 4G 64G XANH DƯƠNG CŨ - TRẦY XƯỚC</t>
  </si>
  <si>
    <t>Vsmart Joy 2 Plus 2GB Cũ</t>
  </si>
  <si>
    <t>Vsmart Joy 3 2GB Cũ</t>
  </si>
  <si>
    <t>Redmi Note 7 Cũ</t>
  </si>
  <si>
    <t>REDMI NOTE 9 4G 128GB XÁM - ĐÃ KÍCH HOẠT</t>
  </si>
  <si>
    <t>Xiaomi Mi 9 Cũ</t>
  </si>
  <si>
    <t>Xiaomi Mi A2 Lite 64GB Cũ</t>
  </si>
  <si>
    <t>Xiaomi Mi Note 10 Pro-Trắng</t>
  </si>
  <si>
    <t>Xiaomi Pocophone F1 128GB Cũ</t>
  </si>
  <si>
    <t>Xiaomi Redmi 6A 16GB Cũ</t>
  </si>
  <si>
    <t>Xiaomi Redmi 7A cũ</t>
  </si>
  <si>
    <t>XIAOMI REDMI 8 4G 64GB XANH CŨ - ĐẸP</t>
  </si>
  <si>
    <t>Xiaomi Redmi 8A Cũ</t>
  </si>
  <si>
    <t>Xiaomi Redmi Note 8 64GB</t>
  </si>
  <si>
    <t>Xiaomi Redmi Note 8 64GB Cũ</t>
  </si>
  <si>
    <t>Xiaomi Redmi Note 8 Pro 128GB Cũ</t>
  </si>
  <si>
    <t>Apple Watch 4 40mm (GPS) Viền Nhôm Vàng - Dây Hồng (MU682) Cũ</t>
  </si>
  <si>
    <t>Apple iPad 10.2 2019 Wi-Fi 32GB Chính hãng-Vàng</t>
  </si>
  <si>
    <t>APPLE IPHONE 6 16GB BẠC CŨ - ĐẸP</t>
  </si>
  <si>
    <t>APPLE IPHONE 6 PLUS 16GB XÁM CŨ - TRẦY XƯỚC</t>
  </si>
  <si>
    <t>APPLE IPHONE 6S 32GB VÀNG CŨ - TRẦY XƯỚC</t>
  </si>
  <si>
    <t>APPLE IPHONE 6S PLUS 32GB BẠC CŨ - ĐẸP</t>
  </si>
  <si>
    <t>APPLE IPHONE 7 32GB ĐEN CŨ - TRẦY XƯỚC</t>
  </si>
  <si>
    <t>APPLE IPHONE 7 PLUS 128GB VÀNG CŨ - TRẦY XƯỚC</t>
  </si>
  <si>
    <t>APPLE IPHONE 7 PLUS 128GB VÀNG CŨ - XƯỚC CẤN</t>
  </si>
  <si>
    <t>Apple MacBook Air 13 inch 128GB 2018 Vàng MREE2 Cũ</t>
  </si>
  <si>
    <t>Oppo A9 2020</t>
  </si>
  <si>
    <t>VSMART BEE 3 2G 16G ĐEN - ĐÃ KÍCH HOẠT</t>
  </si>
  <si>
    <t>Xiaomi Redmi 7 2GB Ram cũ</t>
  </si>
  <si>
    <t>Apple Watch 4 44mm (GPS) Viền Nhôm Xám - Dây Đen (MU6D2) Chính hãng</t>
  </si>
  <si>
    <t>Apple Watch 5 44mm (4G) Viền Nhôm Vàng - Dây Hồng Chính hãng (MWWD2)</t>
  </si>
  <si>
    <t>Apple Watch 3 38 mm (GPS + eSIM) Viền Nhôm Vàng - Dây Hồng (MQJQ2) Cũ</t>
  </si>
  <si>
    <t>Apple Watch 3 38MM Viền Nhôm Xám - Dây Đen (MQKV2) Cũ</t>
  </si>
  <si>
    <t>Apple Watch 3 42mm (4G) Viền Nhôm Vàng - Dây Hồng (MQK32) Cũ</t>
  </si>
  <si>
    <t>Apple Watch 3 42mm (4G) Viền Nhôm Xám - Dây Đen (MQK22) Cũ</t>
  </si>
  <si>
    <t>Apple Watch 3 42mm (4G) Viền Nhôm Xám - Dây Xám (MR2X2)</t>
  </si>
  <si>
    <t>Apple Watch 3 42mm (4G) Viền Thép Đen - Dây Đen (MQK92) Cũ</t>
  </si>
  <si>
    <t>Apple Watch 3 Nike+ (Plus) 42 mm Viền Nhôm Xám - Dây Đen (MQL42)</t>
  </si>
  <si>
    <t>Apple Watch 3 Nike+ 42 mm Viền Nhôm Bạc - Dây Đen (MQL32) Cũ</t>
  </si>
  <si>
    <t>Apple Watch 4 (4G) 44mm Viền Nhôm Xám - Dây Đen (MTUW2) Cũ</t>
  </si>
  <si>
    <t>Apple Watch 4 40mm (GPS) Viền Nhôm Bạc - Dây Trắng (MU642) Cũ</t>
  </si>
  <si>
    <t>Apple Watch 4 40mm (GPS) Viền Nhôm Xám - Dây Đen (MU662) Cũ</t>
  </si>
  <si>
    <t>Apple Watch 4 44mm (GPS) Viền Nhôm Bạc - Dây Trắng (MU6A2) Cũ</t>
  </si>
  <si>
    <t>Apple Watch 4 44mm (GPS) Viền Nhôm Vàng - Dây Hồng (MU6F2) Cũ</t>
  </si>
  <si>
    <t>Apple Watch 4 44mm (GPS) Viền Nhôm Xám - Dây Đen (MU6D2)</t>
  </si>
  <si>
    <t>Apple Watch 4 44mm (GPS) Viền Nhôm Xám - Dây Vải Đen Chính hãng (MU6E2) Cũ</t>
  </si>
  <si>
    <t>Apple Watch 4 Nike+ 40mm (GPS) Viền Nhôm Bạc - Dây Vải Trắng (MU7F2)</t>
  </si>
  <si>
    <t>Apple Watch 5 40mm (GPS) Viền Nhôm Vàng - Dây Hồng Chính hãng (MWV72) Đã kích hoạt</t>
  </si>
  <si>
    <t>Apple Watch 5 40mm (GPS) Viền Nhôm Xám - Dây Đen Chính hãng (MWV82) Cũ</t>
  </si>
  <si>
    <t>APPLE WATCH SERIES 4 44MM (GPS) - VIỀN NHÔM BẠC - CAO SU TRẮNG (MU6A2) - ĐỔI BẢO HÀNH</t>
  </si>
  <si>
    <t>APPLE WATCH SERIES 4 44MM (GPS) - VIỀN NHÔM XÁM - DÂY VẢI ĐEN (MU6E2) CŨ - ĐẸP</t>
  </si>
  <si>
    <t>APPLE WATCH SERIES 5 40MM (4G) - VIỀN NHÔM XÁM - CAO SU ĐEN CHÍNH HÃNG (MWX32) - ĐÃ KÍCH HOẠT</t>
  </si>
  <si>
    <t>APPLE WATCH SERIES 5 40MM (4G) - VIỀN THÉP VÀNG - CAO SU VÀNG (MWX62) CŨ - ĐẸP</t>
  </si>
  <si>
    <t>APPLE WATCH SERIES 5 40MM (4G) - VIỀN THÉP XÁM - CAO SU ĐEN (MWX82) CŨ - ĐẸP</t>
  </si>
  <si>
    <t>APPLE WATCH SERIES 5 40MM (4G) - VIỀN THÉP XÁM - DÂY THÉP (MWX92) CŨ - TRẦY XƯỚC</t>
  </si>
  <si>
    <t>APPLE WATCH SERIES 5 40MM (GPS) - VIỀN NHÔM BẠC - CAO SU TRẮNG ̣̣̣̣(MWV62) CŨ - XƯỚC CẤN</t>
  </si>
  <si>
    <t>APPLE WATCH SERIES 5 40MM (GPS) - VIỀN NHÔM BẠC - CAO SU TRẮNG CHÍNH HÃNG (MWV62) - ĐÃ KÍCH HOẠT</t>
  </si>
  <si>
    <t>APPLE WATCH SERIES 5 44MM (4G) - VIỀN THÉP BẠC - DÂY THÉP (MWWG2) CŨ - ĐẸP</t>
  </si>
  <si>
    <t>APPLE WATCH SERIES 5 44MM (4G) - VIỀN THÉP VÀNG - DÂY THÉP (MWWJ2) CŨ - ĐẸP</t>
  </si>
  <si>
    <t>APPLE WATCH SERIES 5 44MM (4G) - VIỀN THÉP XÁM - DÂY THÉP (MWWL2) CŨ - ĐẸP</t>
  </si>
  <si>
    <t>APPLE WATCH SERIES 5 44MM (GPS) - VIỀN NHÔM BẠC - CAO SU TRẮNG (MWVD2) CŨ - ĐẸP</t>
  </si>
  <si>
    <t>APPLE WATCH SERIES 5 44MM (GPS) - VIỀN NHÔM XÁM - CAO SU ĐEN (MWVF2) CŨ - TRẦY XƯỚC</t>
  </si>
  <si>
    <t>ASUS FONEPAD 7 16GB TRẮNG CŨ - ĐẸP</t>
  </si>
  <si>
    <t>ASUS ROG Phone 128GB Cũ</t>
  </si>
  <si>
    <t>ASUS ZENFONE GO 1.3GHZ/2GB/16GB TRẮNG CŨ (ZC500TG)</t>
  </si>
  <si>
    <t>Asus Zenfone Live L1 Đã kích hoạt bảo hành</t>
  </si>
  <si>
    <t>Asus Zenfone Max M2 4GB Cũ</t>
  </si>
  <si>
    <t>ASUS ZENPAD TRẮNG CŨ (Z370CG)</t>
  </si>
  <si>
    <t>HONOR CŨ</t>
  </si>
  <si>
    <t>Honor 10 Lite Cũ</t>
  </si>
  <si>
    <t>HONOR 10 LITE XANH CŨ - ĐẸP</t>
  </si>
  <si>
    <t>Honor Play Cũ</t>
  </si>
  <si>
    <t>Huawei P20 Pro Cũ</t>
  </si>
  <si>
    <t>Huawei P30 Pro Cũ</t>
  </si>
  <si>
    <t>Huawei Y7 Pro 2019 Cũ</t>
  </si>
  <si>
    <t>Apple iPad 10.2 2019 4G 32GB-Xám</t>
  </si>
  <si>
    <t>Apple iPad 10.2 2019 Wi-Fi 128GB Chính hãng cũ-Vàng</t>
  </si>
  <si>
    <t>APPLE IPAD 2 3G 16GB TRẮNG CŨ - ĐẸP</t>
  </si>
  <si>
    <t>APPLE IPAD 9.7 2017 4G 32GB XÁM CŨ - XƯỚC CẤN</t>
  </si>
  <si>
    <t>Apple iPad 9.7 2018 4G 32GB cũ</t>
  </si>
  <si>
    <t>APPLE IPAD 9.7 2018 4G 32GB VÀNG CŨ - ĐẸP</t>
  </si>
  <si>
    <t>APPLE IPAD 9.7 2018 WIFI 32GB VÀNG CŨ - XƯỚC CẤN</t>
  </si>
  <si>
    <t>Apple iPad Air 10.5 Wifi 64GB Đã kích hoạt bảo hành-Bạc</t>
  </si>
  <si>
    <t>APPLE IPAD AIR 2 4G 128GB BẠC CŨ - ĐẸP</t>
  </si>
  <si>
    <t>APPLE IPAD AIR 2 4G 16GB BẠC CŨ - TRẦY XƯỚC</t>
  </si>
  <si>
    <t>APPLE IPAD AIR 2 4G 16GB VÀNG CŨ - ĐẸP</t>
  </si>
  <si>
    <t>APPLE IPAD AIR 2 4G 16GB XÁM CŨ - ĐẸP</t>
  </si>
  <si>
    <t>APPLE IPAD AIR 2 4G 16GB XÁM CŨ - TRẦY XƯỚC</t>
  </si>
  <si>
    <t>APPLE IPAD AIR 2 4G 32GB XÁM CŨ - ĐẸP</t>
  </si>
  <si>
    <t>Apple iPad Air 2 4G 64GB Cũ</t>
  </si>
  <si>
    <t>Apple iPad Air 2 4G 64GB Cũ-Vàng</t>
  </si>
  <si>
    <t>APPLE IPAD AIR 2 WIFI 16GB VÀNG CŨ - ĐẸP</t>
  </si>
  <si>
    <t>APPLE IPAD AIR 4G 16GB BẠC CŨ - XƯỚC CẤN</t>
  </si>
  <si>
    <t>APPLE IPAD AIR 4G 16GB TRẮNG CŨ</t>
  </si>
  <si>
    <t>APPLE IPAD AIR 4G 32GB BẠC CŨ - ĐẸP</t>
  </si>
  <si>
    <t>APPLE IPAD AIR WIFI 16GB XÁM CŨ - XƯỚC CẤN</t>
  </si>
  <si>
    <t>APPLE IPAD MINI 2 4G 16GB XÁM CŨ</t>
  </si>
  <si>
    <t>APPLE IPAD MINI 2 4G 16GB XÁM CŨ - XƯỚC CẤN</t>
  </si>
  <si>
    <t>APPLE IPAD MINI 2 4G 32GB BẠC CŨ - TRẦY XƯỚC</t>
  </si>
  <si>
    <t>Apple iPad mini 3 4G 16GB cũ</t>
  </si>
  <si>
    <t>APPLE IPAD MINI 3 4G 16GB VÀNG CŨ - XƯỚC CẤN</t>
  </si>
  <si>
    <t>APPLE IPAD MINI 3 4G 64GB VÀNG CŨ - ĐẸP</t>
  </si>
  <si>
    <t>APPLE IPAD MINI 3 4G 64GB VÀNG CŨ - TRẦY XƯỚC</t>
  </si>
  <si>
    <t>Apple iPad mini 3 Wi-Fi 16GB Cũ</t>
  </si>
  <si>
    <t>APPLE IPAD MINI 3 WIFI 64GB VÀNG CŨ - XƯỚC CẤN</t>
  </si>
  <si>
    <t>APPLE IPAD MINI 4 4G 16GB VÀNG CŨ - ĐẸP</t>
  </si>
  <si>
    <t>APPLE IPAD MINI 4 4G 32GB BẠC CŨ - ĐẸP</t>
  </si>
  <si>
    <t>APPLE IPAD MINI 4 4G 64GB XÁM CŨ - ĐẸP</t>
  </si>
  <si>
    <t>APPLE IPAD MINI 4 WIFI 128GB BẠC CŨ - ĐẸP</t>
  </si>
  <si>
    <t>APPLE IPAD MINI 4 WIFI 16GB BẠC CŨ - ĐẸP</t>
  </si>
  <si>
    <t>APPLE IPAD MINI 5 WIFI 64GB BẠC CHÍNH HÃNG - ĐÃ KÍCH HOẠT</t>
  </si>
  <si>
    <t>APPLE IPAD MINI WIFI 16GB TRẮNG CŨ - ĐẸP</t>
  </si>
  <si>
    <t>APPLE IPAD MINI WIFI 32GB ĐEN CŨ - ĐẸP</t>
  </si>
  <si>
    <t>APPLE IPAD MINI WIFI 64GB ĐEN CŨ - ĐẸP</t>
  </si>
  <si>
    <t>Apple iPad Pro 10.5 2017 4G 256GB</t>
  </si>
  <si>
    <t>APPLE IPAD PRO 10.5 2017 4G 64GB HỒNG CŨ - ĐẸP</t>
  </si>
  <si>
    <t>APPLE IPAD PRO 10.5 2017 WIFI 64GB BẠC - ĐỔI BẢO HÀNH</t>
  </si>
  <si>
    <t>APPLE IPAD PRO 10.5 2017 WIFI 64GB BẠC CŨ - ĐẸP</t>
  </si>
  <si>
    <t>Apple iPad Pro 10.5 4G 512GB Cũ</t>
  </si>
  <si>
    <t>Apple iPad Pro 10.5 4G 64GB Cũ</t>
  </si>
  <si>
    <t>Apple iPad Pro 11 2018 4G 256GB</t>
  </si>
  <si>
    <t>Apple iPad Pro 11 2018 4G 256GB Cũ</t>
  </si>
  <si>
    <t>Apple iPad Pro 11 2018 4G 64GB</t>
  </si>
  <si>
    <t>Apple iPad Pro 11 2018 4G 64GB Chính hãng - Đã kích hoạt bảo hành</t>
  </si>
  <si>
    <t>Apple iPad Pro 11 2018 Wi-fi 25GB Cũ</t>
  </si>
  <si>
    <t>Apple iPad Pro 11 2018 Wi-fi 64GB Cũ</t>
  </si>
  <si>
    <t>Apple iPad Pro 11 2020 WiFi 128GB</t>
  </si>
  <si>
    <t>Apple iPad Pro 12.9 2015 WiFi 32GB cũ</t>
  </si>
  <si>
    <t>Apple iPad Pro 9.7 4G 256GB Chính hãng</t>
  </si>
  <si>
    <t>APPLE IPHONE 11 128GB 2 SIM ĐEN - ĐỔI BẢO HÀNH</t>
  </si>
  <si>
    <t>Apple iPhone 11 64GB 2 SIM Cũ</t>
  </si>
  <si>
    <t>APPLE IPHONE 11 64GB 2 SIM VÀNG CŨ - TRẦY XƯỚC</t>
  </si>
  <si>
    <t>APPLE IPHONE 11 PRO MAX 256GB XANH CŨ - TRẦY XƯỚC</t>
  </si>
  <si>
    <t>APPLE IPHONE 5S 16GB BẠC CŨ - TRẦY XƯỚC</t>
  </si>
  <si>
    <t>APPLE IPHONE 5S 16GB BẠC CŨ - XƯỚC CẤN</t>
  </si>
  <si>
    <t>Apple iPhone 5S 16GB cũ-Gold</t>
  </si>
  <si>
    <t>Apple iPhone 5S 16GB cũ-Gray</t>
  </si>
  <si>
    <t>Apple iPhone 5S 16GB cũ-Silver</t>
  </si>
  <si>
    <t>APPLE IPHONE 5S 16GB VÀNG CŨ</t>
  </si>
  <si>
    <t>APPLE IPHONE 5S 16GB VÀNG CŨ - TRẦY XƯỚC</t>
  </si>
  <si>
    <t>APPLE IPHONE 5S 16GB XÁM CŨ</t>
  </si>
  <si>
    <t>APPLE IPHONE 5S 16GB XÁM CŨ - TRẦY XƯỚC</t>
  </si>
  <si>
    <t>APPLE IPHONE 5S 16GB XÁM CŨ - XƯỚC CẤN</t>
  </si>
  <si>
    <t>Apple iPhone 6 16GB cũ</t>
  </si>
  <si>
    <t>APPLE IPHONE 6 16GB VÀNG CŨ</t>
  </si>
  <si>
    <t>APPLE IPHONE 6 16GB VÀNG CŨ - TRẦY XƯỚC</t>
  </si>
  <si>
    <t>APPLE IPHONE 6 16GB XÁM CŨ - ĐẸP</t>
  </si>
  <si>
    <t>Apple iPhone 6 32GB Cũ</t>
  </si>
  <si>
    <t>APPLE IPHONE 6 64GB VÀNG CŨ</t>
  </si>
  <si>
    <t>APPLE IPHONE 6 64GB VÀNG CŨ - XƯỚC CẤN</t>
  </si>
  <si>
    <t>APPLE IPHONE 6 64GB XÁM CŨ - TRẦY XƯỚC</t>
  </si>
  <si>
    <t>APPLE IPHONE 6 64GB XÁM CŨ - XƯỚC CẤN</t>
  </si>
  <si>
    <t>Apple iPhone 6 Plus 128GB cũ</t>
  </si>
  <si>
    <t>APPLE IPHONE 6 PLUS 16GB BẠC CŨ - TRẦY XƯỚC</t>
  </si>
  <si>
    <t>APPLE IPHONE 6 PLUS 16GB VÀNG CŨ - XƯỚC CẤN</t>
  </si>
  <si>
    <t>APPLE IPHONE 6 PLUS 16GB XÁM CŨ - XƯỚC CẤN</t>
  </si>
  <si>
    <t>APPLE IPHONE 6 PLUS 64GB VÀNG CŨ - ĐẸP</t>
  </si>
  <si>
    <t>APPLE IPHONE 6 PLUS 64GB VÀNG CŨ - XƯỚC CẤN</t>
  </si>
  <si>
    <t>APPLE IPHONE 6 PLUS 64GB XÁM CŨ - TRẦY XƯỚC</t>
  </si>
  <si>
    <t>APPLE IPHONE 6S 128GB HỒNG CŨ - XƯỚC CẤN</t>
  </si>
  <si>
    <t>APPLE IPHONE 6S 16GB BẠC CŨ - TRẦY XƯỚC</t>
  </si>
  <si>
    <t>APPLE IPHONE 6S 16GB BẠC CŨ - XƯỚC CẤN</t>
  </si>
  <si>
    <t>APPLE IPHONE 6S 16GB HỒNG CŨ - XƯỚC CẤN</t>
  </si>
  <si>
    <t>APPLE IPHONE 6S 16GB VÀNG CŨ - XƯỚC CẤN</t>
  </si>
  <si>
    <t>APPLE IPHONE 6S 16GB XÁM CŨ - XƯỚC CẤN</t>
  </si>
  <si>
    <t>Apple iPhone 6S 32GB Chính hãng Đã kích hoạt bảo hành</t>
  </si>
  <si>
    <t>APPLE IPHONE 6S 32GB HỒNG</t>
  </si>
  <si>
    <t>APPLE IPHONE 6S 32GB HỒNG CŨ - TRẦY XƯỚC</t>
  </si>
  <si>
    <t>Apple iPhone 6S 64GB cũ</t>
  </si>
  <si>
    <t>APPLE IPHONE 6S 64GB HỒNG CŨ - TRẦY XƯỚC</t>
  </si>
  <si>
    <t>APPLE IPHONE 6S 64GB HỒNG CŨ - XƯỚC CẤN</t>
  </si>
  <si>
    <t>APPLE IPHONE 6S 64GB VÀNG CŨ - TRẦY XƯỚC</t>
  </si>
  <si>
    <t>APPLE IPHONE 6S 64GB VÀNG CŨ - XƯỚC CẤN</t>
  </si>
  <si>
    <t>APPLE IPHONE 6S 64GB XÁM CŨ - TRẦY XƯỚC</t>
  </si>
  <si>
    <t>APPLE IPHONE 6S 64GB XÁM CŨ - XƯỚC CẤN</t>
  </si>
  <si>
    <t>APPLE IPHONE 6S PLUS 128GB VÀNG CŨ - ĐẸP</t>
  </si>
  <si>
    <t>APPLE IPHONE 6S PLUS 128GB VÀNG CŨ - TRẦY XƯỚC</t>
  </si>
  <si>
    <t>APPLE IPHONE 6S PLUS 128GB VÀNG CŨ - XƯỚC CẤN</t>
  </si>
  <si>
    <t>APPLE IPHONE 6S PLUS 16GB BẠC CŨ - ĐẸP</t>
  </si>
  <si>
    <t>Apple iPhone 6S Plus 16GB cũ</t>
  </si>
  <si>
    <t>APPLE IPHONE 6S PLUS 16GB HỒNG CŨ - XƯỚC CẤN</t>
  </si>
  <si>
    <t>APPLE IPHONE 6S PLUS 16GB VÀNG CŨ - XƯỚC CẤN</t>
  </si>
  <si>
    <t>Apple iPhone 6S Plus 32GB cũ</t>
  </si>
  <si>
    <t>APPLE IPHONE 6S PLUS 32GB HỒNG CŨ - TRẦY XƯỚC</t>
  </si>
  <si>
    <t>APPLE IPHONE 6S PLUS 32GB XÁM CŨ - TRẦY XƯỚC</t>
  </si>
  <si>
    <t>APPLE IPHONE 6S PLUS 64GB BẠC CŨ - TRẦY XƯỚC</t>
  </si>
  <si>
    <t>APPLE IPHONE 6S PLUS 64GB HỒNG CŨ - TRẦY XƯỚC</t>
  </si>
  <si>
    <t>APPLE IPHONE 6S PLUS 64GB HỒNG CŨ - XƯỚC CẤN</t>
  </si>
  <si>
    <t>APPLE IPHONE 6S PLUS 64GB VÀNG - ĐỔI BẢO HÀNH (VN/A)</t>
  </si>
  <si>
    <t>APPLE IPHONE 6S PLUS 64GB VÀNG CŨ - TRẦY XƯỚC</t>
  </si>
  <si>
    <t>APPLE IPHONE 6S PLUS 64GB XÁM CŨ - XƯỚC CẤN</t>
  </si>
  <si>
    <t>Apple iPhone 6S Plus cũ 32GB</t>
  </si>
  <si>
    <t>Apple iPhone 7 128GB cũ</t>
  </si>
  <si>
    <t>APPLE IPHONE 7 128GB ĐEN</t>
  </si>
  <si>
    <t>APPLE IPHONE 7 128GB ĐEN CŨ - XƯỚC CẤN</t>
  </si>
  <si>
    <t>APPLE IPHONE 7 128GB ĐỎ CŨ - ĐẸP</t>
  </si>
  <si>
    <t>APPLE IPHONE 7 128GB VÀNG</t>
  </si>
  <si>
    <t>APPLE IPHONE 7 128GB VÀNG CŨ - XƯỚC CẤN</t>
  </si>
  <si>
    <t>APPLE IPHONE 7 256GB BẠC CŨ - ĐẸP</t>
  </si>
  <si>
    <t>APPLE IPHONE 7 32GB BẠC</t>
  </si>
  <si>
    <t>APPLE IPHONE 7 32GB BẠC CŨ - TRẦY XƯỚC</t>
  </si>
  <si>
    <t>APPLE IPHONE 7 32GB ĐEN</t>
  </si>
  <si>
    <t>APPLE IPHONE 7 32GB ĐEN CŨ - XƯỚC CẤN</t>
  </si>
  <si>
    <t>APPLE IPHONE 7 32GB HỒNG</t>
  </si>
  <si>
    <t>APPLE IPHONE 7 32GB HỒNG - ĐỔI BẢO HÀNH</t>
  </si>
  <si>
    <t>APPLE IPHONE 7 32GB HỒNG CŨ - TRẦY XƯỚC</t>
  </si>
  <si>
    <t>APPLE IPHONE 7 32GB VÀNG</t>
  </si>
  <si>
    <t>APPLE IPHONE 7 32GB VÀNG CŨ - XƯỚC CẤN</t>
  </si>
  <si>
    <t>APPLE IPHONE 7 PLUS 128GB BẠC - ĐỔI BẢO HÀNH</t>
  </si>
  <si>
    <t>APPLE IPHONE 7 PLUS 128GB BẠC CŨ - XƯỚC CẤN</t>
  </si>
  <si>
    <t>APPLE IPHONE 7 PLUS 128GB ĐEN - ĐỔI BẢO HÀNH (VN/A)</t>
  </si>
  <si>
    <t>APPLE IPHONE 7 PLUS 128GB ĐEN BÓNG CŨ - ĐẸP</t>
  </si>
  <si>
    <t>APPLE IPHONE 7 PLUS 128GB ĐEN BÓNG CŨ - TRẦY XƯỚC</t>
  </si>
  <si>
    <t>APPLE IPHONE 7 PLUS 128GB ĐEN BÓNG CŨ - XƯỚC CẤN</t>
  </si>
  <si>
    <t>APPLE IPHONE 7 PLUS 128GB ĐEN CPO</t>
  </si>
  <si>
    <t>APPLE IPHONE 7 PLUS 128GB ĐEN CŨ - XƯỚC CẤN</t>
  </si>
  <si>
    <t>APPLE IPHONE 7 PLUS 128GB VÀNG - ĐỔI BẢO HÀNH</t>
  </si>
  <si>
    <t>APPLE IPHONE 7 PLUS 256GB ĐEN CŨ - ĐẸP</t>
  </si>
  <si>
    <t>APPLE IPHONE 7 PLUS 256GB ĐEN CŨ - XƯỚC CẤN</t>
  </si>
  <si>
    <t>APPLE IPHONE 7 PLUS 32GB BẠC CŨ - ĐẸP</t>
  </si>
  <si>
    <t>APPLE IPHONE 7 PLUS 32GB BẠC CŨ - XƯỚC CẤN</t>
  </si>
  <si>
    <t>APPLE IPHONE 7 PLUS 32GB ĐEN</t>
  </si>
  <si>
    <t>APPLE IPHONE 7 PLUS 32GB ĐEN CŨ - XƯỚC CẤN</t>
  </si>
  <si>
    <t>APPLE IPHONE 7 PLUS 32GB ĐEN LOCK CŨ - ĐẸP</t>
  </si>
  <si>
    <t>APPLE IPHONE 7 PLUS 32GB HỒNG - ĐỔI BẢO HÀNH(VN/A)</t>
  </si>
  <si>
    <t>APPLE IPHONE 7 PLUS 32GB HỒNG LOCK CŨ - ĐẸP</t>
  </si>
  <si>
    <t>Apple iPhone 8 256GB cũ</t>
  </si>
  <si>
    <t>APPLE IPHONE 8 256GB VÀNG CŨ - TRẦY XƯỚC</t>
  </si>
  <si>
    <t>APPLE IPHONE 8 256GB XÁM CŨ - ĐẸP</t>
  </si>
  <si>
    <t>APPLE IPHONE 8 64GB VÀNG - ĐỔI BẢO HÀNH (VN/A)</t>
  </si>
  <si>
    <t>APPLE IPHONE 8 PLUS 256GB VÀNG CŨ - TRẦY XƯỚC</t>
  </si>
  <si>
    <t>APPLE IPHONE 8 PLUS 256GB VÀNG CŨ - XƯỚC CẤN</t>
  </si>
  <si>
    <t>APPLE IPHONE 8 PLUS 256GB XÁM CŨ - TRẦY XƯỚC</t>
  </si>
  <si>
    <t>APPLE IPHONE 8 PLUS 256GB XÁM CŨ - XƯỚC CẤN</t>
  </si>
  <si>
    <t>APPLE IPHONE 8 PLUS 64GB ĐỎ CŨ - TRẦY XƯỚC</t>
  </si>
  <si>
    <t>Apple iPhone 8 Plus 64GB Đổi bảo hành</t>
  </si>
  <si>
    <t>APPLE IPHONE 8 PLUS 64GB XÁM - ĐÔI BẢO HÀNH (VN/A)</t>
  </si>
  <si>
    <t>APPLE IPHONE SE 16GB BẠC CŨ - ĐẸP</t>
  </si>
  <si>
    <t>Apple iPhone SE 16GB Cũ</t>
  </si>
  <si>
    <t>APPLE IPHONE SE 16GB HỒNG CŨ - ĐẸP</t>
  </si>
  <si>
    <t>APPLE IPHONE SE 16GB XÁM CŨ - ĐẸP</t>
  </si>
  <si>
    <t>APPLE IPHONE SE 2020 64GB TRẮNG - ĐỔI BẢO HÀNH (VN/A)</t>
  </si>
  <si>
    <t>APPLE IPHONE SE 2020 64GB TRẮNG CHÍNH HÃNG (VN/A) - ĐÃ KÍCH HOẠT</t>
  </si>
  <si>
    <t>APPLE IPHONE SE 32GB XÁM CŨ - TRẦY XƯỚC</t>
  </si>
  <si>
    <t>APPLE IPHONE SE 64GB XÁM CŨ - TRẦY XƯỚC</t>
  </si>
  <si>
    <t>APPLE IPHONE X 256GB BẠC CŨ - XƯỚC CẤN</t>
  </si>
  <si>
    <t>Apple iPhone X 256GB Chính hãng</t>
  </si>
  <si>
    <t>APPLE IPHONE X 256GB XÁM</t>
  </si>
  <si>
    <t>APPLE IPHONE X 256GB XÁM CŨ - XƯỚC CẤN</t>
  </si>
  <si>
    <t>APPLE IPHONE X 64GB BẠC</t>
  </si>
  <si>
    <t>APPLE IPHONE X 64GB XÁM</t>
  </si>
  <si>
    <t>APPLE IPHONE X 64GB XÁM CŨ - XƯỚC CẤN</t>
  </si>
  <si>
    <t>Apple iPhone XR 256GB</t>
  </si>
  <si>
    <t>Apple iPhone XR 64GB 2 SIM Chính hãng</t>
  </si>
  <si>
    <t>Apple iPhone XR 64GB Đổi bảo hành</t>
  </si>
  <si>
    <t>Apple iPhone XS 256GB Chính hãng</t>
  </si>
  <si>
    <t>Apple iPhone XS 512GB</t>
  </si>
  <si>
    <t>Apple iPhone XS 64GB Chính hãng</t>
  </si>
  <si>
    <t>APPLE IPHONE XS 64GB XÁM</t>
  </si>
  <si>
    <t>Apple iPhone XS Max 256GB 2 SIM Cũ 95 lỗi -Vàng</t>
  </si>
  <si>
    <t>APPLE IPHONE XS MAX 256GB 2 SIM VÀNG</t>
  </si>
  <si>
    <t>Apple iPhone XS Max 256GB Cũ-Xám</t>
  </si>
  <si>
    <t>Apple iPhone XS Max 256GB Đã kích hoạt bảo hành</t>
  </si>
  <si>
    <t>APPLE IPHONE XS MAX 256GB VÀNG</t>
  </si>
  <si>
    <t>Apple iPhone XS Max 64GB 2 SIM Cũ</t>
  </si>
  <si>
    <t>Apple iPhone XS Max 64GB 2 SIM Cũ-Vàng</t>
  </si>
  <si>
    <t>APPLE IPHONE XS MAX 64GB XÁM</t>
  </si>
  <si>
    <t>iPhone 11 Pro Max 512GB</t>
  </si>
  <si>
    <t>iPhone 11 Pro Max 512GB Cũ</t>
  </si>
  <si>
    <t>iPhone 11 Pro Max 64GB 2 Sim Cũ</t>
  </si>
  <si>
    <t>iPhone 8 Plus 128GB (VN/A)-Vàng</t>
  </si>
  <si>
    <t>iPhone SE 2020 Chính hãng VN/A Đen</t>
  </si>
  <si>
    <t>iPhone SE 2020 Chính hãng VN/A Trắng</t>
  </si>
  <si>
    <t>iPhone SE 2020 Cũ</t>
  </si>
  <si>
    <t>ASUS ZENFONE 5 8GB ĐEN CŨ - ĐẸP (A500CG)</t>
  </si>
  <si>
    <t>ITEL IT2123V ĐEN CŨ - ĐẸP</t>
  </si>
  <si>
    <t>Itel IT2580 cũ</t>
  </si>
  <si>
    <t>ITEL IT5091 ĐEN CŨ - TRẦY XƯỚC</t>
  </si>
  <si>
    <t>MASSTEL IZI 120 ĐEN CŨ - ĐẸP</t>
  </si>
  <si>
    <t>MASSTEL IZI 120 XANH CŨ - ĐẸP</t>
  </si>
  <si>
    <t>Sharp A2 Đã kích hoạt bảo hành</t>
  </si>
  <si>
    <t>Sharp Aquos S2 Cũ</t>
  </si>
  <si>
    <t>Sharp Aquos S3 Cũ</t>
  </si>
  <si>
    <t>Vivo V5S 64GB Vàng Cũ</t>
  </si>
  <si>
    <t>Vsmart Active 1 Plus Cũ</t>
  </si>
  <si>
    <t>VSMART LIVE 4G 64G ĐEN CŨ - XƯỚC CẤN</t>
  </si>
  <si>
    <t>Vsmart Star Cũ</t>
  </si>
  <si>
    <t>Apple MacBook 12 256GB 2015 Bạc cũ(MF855)</t>
  </si>
  <si>
    <t>Apple MacBook Air 11 inch MJVM2 Bạc cũ</t>
  </si>
  <si>
    <t>Apple MacBook Air 12 256GB 2015 Cũ</t>
  </si>
  <si>
    <t>Apple MacBook Air 13 inch 128GB 2018 Vàng MREE2 Chính hãng</t>
  </si>
  <si>
    <t>Apple MacBook Air 13 inch 256GB 2016 MMGG2 Cũ</t>
  </si>
  <si>
    <t>Apple MacBook Air 13 inch MJVE2 cũ</t>
  </si>
  <si>
    <t>APPLE MACBOOK PRO 13 256GB 2015 BẠC CŨ - ĐẸP (MF840)</t>
  </si>
  <si>
    <t>Apple Macbook Pro 13 256GB 2019 4 Cổng Bạc (MV992) Cũ</t>
  </si>
  <si>
    <t>Apple MacBook Pro 13 inch 128GB 2017 MPXR2 Cũ</t>
  </si>
  <si>
    <t>Apple MacBook Pro 13 inch 128GB MPXQ2</t>
  </si>
  <si>
    <t>Apple MacBook Pro 13 inch 256GB MLL42</t>
  </si>
  <si>
    <t>APPLE MACBOOK PRO 13 TOUCH BAR 256GB 2017 BẠC CŨ - ĐẸP (MPXX2)</t>
  </si>
  <si>
    <t>APPLE MACBOOK PRO 13 TOUCH BAR 256GB 2018 XÁM CHÍNH HÃNG (MR9Q2) - ĐÃ KÍCH HOẠT</t>
  </si>
  <si>
    <t>APPLE MACBOOK PRO 13 TOUCH BAR i5 1.4 256GB 2020 XÁM CHÍNH HÃNG (MXK32) - ĐÃ KÍCH HOẠT</t>
  </si>
  <si>
    <t>Macbook Air 13 256GB 2019 Bạc (MVFL2) chính hãng</t>
  </si>
  <si>
    <t>Nokia 1 cũ</t>
  </si>
  <si>
    <t>Nokia 105 (2017) 2 SIM Cũ</t>
  </si>
  <si>
    <t>Nokia 110 Cũ</t>
  </si>
  <si>
    <t>Nokia 130 (2017) 2 SIM Đã kích hoạt bảo hành</t>
  </si>
  <si>
    <t>Nokia 130 Cũ</t>
  </si>
  <si>
    <t>NOKIA 150 ĐEN CŨ - ĐẸP</t>
  </si>
  <si>
    <t>NOKIA 2.1 XANH ĐỒNG CŨ - XƯỚC CẤN</t>
  </si>
  <si>
    <t>NOKIA 2.3 ĐEN CŨ - ĐẸP</t>
  </si>
  <si>
    <t>NOKIA 2.3 VÀNG CŨ - TRẦY XƯỚC</t>
  </si>
  <si>
    <t>NOKIA 2.3 XANH CŨ - XƯỚC CẤN</t>
  </si>
  <si>
    <t>Nokia 210 Cũ</t>
  </si>
  <si>
    <t>NOKIA 216 XANH DƯƠNG CŨ - TRẦY XƯỚC</t>
  </si>
  <si>
    <t>Nokia 2720 Flip-Đen</t>
  </si>
  <si>
    <t>NOKIA 3310 2017 ĐỎ CŨ - ĐẸP</t>
  </si>
  <si>
    <t>NOKIA 3310 2017 XÁM CŨ - ĐẸP</t>
  </si>
  <si>
    <t>NOKIA 5 XANH CŨ - ĐẸP</t>
  </si>
  <si>
    <t>Nokia 5.1 Plus 32GB Xanh Cũ 95</t>
  </si>
  <si>
    <t>NOKIA 5.1 PLUS ĐEN CŨ - XƯỚC CẤN</t>
  </si>
  <si>
    <t>NOKIA 5310 ĐỎ ĐEN CŨ - ĐẸP</t>
  </si>
  <si>
    <t>NOKIA 5310 ĐỎ TRẮNG CŨ - ĐẸP</t>
  </si>
  <si>
    <t>NOKIA 7 PLUS TRẮNG CŨ - ĐẸP</t>
  </si>
  <si>
    <t>NOKIA 8 BẠC CŨ - TRẦY XƯỚC</t>
  </si>
  <si>
    <t>Nokia 800 Tough Cũ</t>
  </si>
  <si>
    <t>NOKIA 800 TOUGH ĐEN CŨ - TRẦY XƯỚC</t>
  </si>
  <si>
    <t>OPPO A12 4GB 64GB XANH (CPH2077) - ĐÃ KÍCH HOẠT</t>
  </si>
  <si>
    <t>OPPO A31 4GB 128GB XANH (CPH2073) - ĐÃ KÍCH HOẠT</t>
  </si>
  <si>
    <t>OPPO A92 8GB 128GB TÍM (CPH2059) - ĐÃ KÍCH HOẠT</t>
  </si>
  <si>
    <t>OPPO RENO 3 TRẮNG (CPH2043) CŨ - ĐẸP</t>
  </si>
  <si>
    <t>Oppo Reno cũ</t>
  </si>
  <si>
    <t>Realme 5 3G 64GB Cũ</t>
  </si>
  <si>
    <t>Realme 5 Pro 8GB</t>
  </si>
  <si>
    <t>Realme 5 Pro 8GB Cũ</t>
  </si>
  <si>
    <t>REALME 6 4G 128G TRẮNG CŨ - ĐẸP</t>
  </si>
  <si>
    <t>Realme 6i-Trắng</t>
  </si>
  <si>
    <t>Realme 6i-Xanh</t>
  </si>
  <si>
    <t>ĐỒNG HỒ THÔNG MINH SAMSUNG GALAXY FIT E WHITE - ĐÃ KÍCH HOẠT</t>
  </si>
  <si>
    <t>Samsung Galaxy A11-Trắng</t>
  </si>
  <si>
    <t>Samsung Galaxy A20-Xanh</t>
  </si>
  <si>
    <t>Samsung Galaxy A30 64GB Cũ</t>
  </si>
  <si>
    <t>SAMSUNG GALAXY A30S 4GB 64GB ĐEN CŨ - TRẦY XƯỚC</t>
  </si>
  <si>
    <t>SAMSUNG GALAXY A30S 4GB 64GB XANH CŨ - TRẦY XƯỚC</t>
  </si>
  <si>
    <t>SAMSUNG GALAXY A5 16GB 2016 2 SIM ĐEN CŨ - TRẦY XƯỚC (A510F)</t>
  </si>
  <si>
    <t>Samsung Galaxy A50 128GB Cũ</t>
  </si>
  <si>
    <t>Samsung Galaxy A7 2018 64GB Cũ</t>
  </si>
  <si>
    <t>SAMSUNG GALAXY A7 32GB 2017 2 SIM ĐEN CŨ - ĐẸP (A720F)</t>
  </si>
  <si>
    <t>SAMSUNG GALAXY A8 PLUS 6GB 64GB 2018 2 SIM ĐEN CŨ - ĐẸP(A730F)</t>
  </si>
  <si>
    <t>Samsung Galaxy A8 Star Cũ</t>
  </si>
  <si>
    <t>SAMSUNG GALAXY M20 XÁM (M205) CŨ - TRẦY XƯỚC</t>
  </si>
  <si>
    <t>SAMSUNG GALAXY NOTE 2 TRẮNG CŨ (N7100)</t>
  </si>
  <si>
    <t>SAMSUNG GALAXY NOTE 4 32GB ĐEN CŨ - XƯỚC CẤN (N910C)</t>
  </si>
  <si>
    <t>SAMSUNG GALAXY NOTE 4 32GB ĐEN CŨ (N910U)</t>
  </si>
  <si>
    <t>SAMSUNG GALAXY NOTE 5 32GB ĐEN CŨ - TRẦY XƯỚC</t>
  </si>
  <si>
    <t>SAMSUNG GALAXY NOTE 5 32GB VÀNG CŨ - TRẦY XƯỚC</t>
  </si>
  <si>
    <t>Samsung Galaxy Note 5 cũ</t>
  </si>
  <si>
    <t>Samsung Galaxy Note 8 Cũ</t>
  </si>
  <si>
    <t>Samsung Galaxy Note 9 512GB Cũ</t>
  </si>
  <si>
    <t>SAMSUNG GALAXY NOTE 9 512GB XANH CŨ - TRẦY XƯỚC</t>
  </si>
  <si>
    <t>SAMSUNG GALAXY NOTE EDGE TRẮNG CŨ (N915G)</t>
  </si>
  <si>
    <t>SAMSUNG GALAXY S10 PLUS 128GB TRẮNG CŨ - TRẦY XƯỚC</t>
  </si>
  <si>
    <t>SAMSUNG GALAXY S5 16GB ĐEN CŨ - XƯỚC CẤN (G900H)</t>
  </si>
  <si>
    <t>SAMSUNG GALAXY S6 32GB ĐEN CŨ</t>
  </si>
  <si>
    <t>SAMSUNG GALAXY S7 32GB ĐEN CŨ - ĐẸP (MỸ)</t>
  </si>
  <si>
    <t>SAMSUNG GALAXY S7 EDGE 32GB ĐEN CŨ - TRẦY XƯỚC (G935)</t>
  </si>
  <si>
    <t>SAMSUNG GALAXY S8 64GB ĐEN CŨ - ĐẸP (G950)</t>
  </si>
  <si>
    <t>SAMSUNG GALAXY S8 64GB VÀNG CŨ - TRẦY XƯỚC (G950)</t>
  </si>
  <si>
    <t>SAMSUNG GALAXY S8 PLUS 64GB ĐEN - ĐÃ KÍCH HOẠT (G955)</t>
  </si>
  <si>
    <t>SAMSUNG GALAXY S8 PLUS 64GB ĐEN CŨ - ĐẸP (G955)</t>
  </si>
  <si>
    <t>Samsung Galaxy S8+ Cũ</t>
  </si>
  <si>
    <t>SAMSUNG GALAXY S9 4GB ĐEN CŨ - ĐẸP (G960)</t>
  </si>
  <si>
    <t>Samsung Galaxy S9 cũ</t>
  </si>
  <si>
    <t>SAMSUNG GALAXY S9 PLUS 128GB ĐEN CŨ - ĐẸP (G965)</t>
  </si>
  <si>
    <t>SAMSUNG GALAXY S9 PLUS 6GB XANH CŨ - TRẦY XƯỚC (G965)</t>
  </si>
  <si>
    <t>Samsung Galaxy S9+ 64GB cũ</t>
  </si>
  <si>
    <t>SAMSUNG GALAXY TAB A 2016 7.0 TRẮNG CŨ - ĐẸP (T285)</t>
  </si>
  <si>
    <t>SAMSUNG GALAXY TAB A 8 BẠC (T295) CŨ - ĐẸP</t>
  </si>
  <si>
    <t>SAMSUNG GALAXY TAB A 8 ĐEN (T295) CŨ - ĐẸP</t>
  </si>
  <si>
    <t>Samsung Galaxy Tab A 8 Plus 2019 Đen - AT</t>
  </si>
  <si>
    <t>SAMSUNG GALAXY TAB E T561 32GB TRẮNG CŨ - ĐẸP</t>
  </si>
  <si>
    <t>SAMSUNG GALAXY TAB S6 LITE XÁM (P615) CŨ - ĐẸP</t>
  </si>
  <si>
    <t>Samsung Galaxy Watch 42mm Cũ</t>
  </si>
  <si>
    <t>SAMSUNG GALAXY WATCH ACTIVE 2 44MM THÉP ĐEN SM-R820S CŨ - ĐẸP</t>
  </si>
  <si>
    <t>Samsung Galaxy Watch Active 2 44mm Vỏ Nhôm đã kích hoạt</t>
  </si>
  <si>
    <t>Samsung Galaxy Watch Active 2 44mm Vỏ Thép Đã kích hoạt</t>
  </si>
  <si>
    <t>SAMSUNG GALAXY WATCH ACTIVE BLACK SM-R500 CŨ - ĐẸP</t>
  </si>
  <si>
    <t>Samsung Galaxy Z Flip Cũ</t>
  </si>
  <si>
    <t>SAMSUNG GALAXY Z FLIP ĐEN (F700) CŨ - ĐẸP</t>
  </si>
  <si>
    <t>Vsmart Joy 3 4GB-Trắng</t>
  </si>
  <si>
    <t>VSMART STAR CAM CŨ - ĐẸP</t>
  </si>
  <si>
    <t>REDMI 7 2G 16GB ĐEN CŨ - TRẦY XƯỚC</t>
  </si>
  <si>
    <t>REDMI NOTE 9S 4G 64GB XANH CŨ - ĐẸP</t>
  </si>
  <si>
    <t>XIAOMI MI 5S 64GB VÀNG CŨ - ĐẸP</t>
  </si>
  <si>
    <t>Xiaomi Mi 6 Chính hãng</t>
  </si>
  <si>
    <t>Xiaomi Mi 9T Cũ</t>
  </si>
  <si>
    <t>Xiaomi Mi A3</t>
  </si>
  <si>
    <t>XIAOMI MI MIX 2 64GB 6G ĐEN CŨ - TRẦY XƯỚC</t>
  </si>
  <si>
    <t>XIAOMI MI MIX 2S 64GB ĐEN CŨ - XƯỚC CẤN</t>
  </si>
  <si>
    <t>Xiaomi Mi Mix 3 Cũ</t>
  </si>
  <si>
    <t>XIAOMI REDMI 5 16GB VÀNG CŨ - XƯỚC CẤN</t>
  </si>
  <si>
    <t>XIAOMI REDMI 9A 2G 32GB XÁM - ĐÃ KÍCH HOẠT</t>
  </si>
  <si>
    <t>Xiaomi Redmi Note 6 Pro 64GB Cũ</t>
  </si>
  <si>
    <t>Xiaomi Redmi Note 8 Pro 64GB Cũ</t>
  </si>
  <si>
    <t>APPLE IPAD PRO 10.5 2017 WIFI 64GB HỒNG CŨ - ĐẸP</t>
  </si>
  <si>
    <t>Apple iPhone 6S 32GB cũ</t>
  </si>
  <si>
    <t>APPLE IPHONE 7 128GB HỒNG CŨ - TRẦY XƯỚC</t>
  </si>
  <si>
    <t>APPLE IPHONE X 256GB XÁM CŨ - TRẦY XƯỚC</t>
  </si>
  <si>
    <t>Apple iPhone XS 256GB</t>
  </si>
  <si>
    <t>Vsmart Active 1 Đã kích hoạt bảo hành</t>
  </si>
  <si>
    <t>Oppo A5 2020</t>
  </si>
  <si>
    <t>Tên sản phẩm</t>
  </si>
  <si>
    <t>Giá bán</t>
  </si>
  <si>
    <t>Số bán hôm qua</t>
  </si>
  <si>
    <t>Số bán 3 ngày qua</t>
  </si>
  <si>
    <t>Số bán 7 ngày qua</t>
  </si>
  <si>
    <t>Số nhập hôm qua</t>
  </si>
  <si>
    <t>Số nhập 7 ngày qua</t>
  </si>
  <si>
    <t>Tồn có thể bán</t>
  </si>
  <si>
    <t>Danh mục</t>
  </si>
  <si>
    <t>Doanh số tháng 6</t>
  </si>
  <si>
    <t>Doanh số tháng 5</t>
  </si>
  <si>
    <t>Doanh số tháng 4</t>
  </si>
  <si>
    <t>Giá bán bình quân</t>
  </si>
  <si>
    <t xml:space="preserve">Câu 1: </t>
  </si>
  <si>
    <t>Đánh giá mức độ đạt target doanh số theo ngành hàng và theo quản lí ngành hàng trong 3 tháng (4,5,6). Cho nhận xét</t>
  </si>
  <si>
    <t>2. Nguồn data sử dụng</t>
  </si>
  <si>
    <t xml:space="preserve">Yêu cầu: </t>
  </si>
  <si>
    <t xml:space="preserve">Câu 2: </t>
  </si>
  <si>
    <r>
      <t xml:space="preserve">2. Nguồn data sử dụng:  </t>
    </r>
    <r>
      <rPr>
        <sz val="11"/>
        <color rgb="FFFF0000"/>
        <rFont val="Calibri"/>
        <family val="2"/>
        <scheme val="minor"/>
      </rPr>
      <t>Data  1 - Tồn kho trong tháng 7</t>
    </r>
    <r>
      <rPr>
        <sz val="11"/>
        <color theme="1"/>
        <rFont val="Calibri"/>
        <family val="2"/>
        <scheme val="minor"/>
      </rPr>
      <t xml:space="preserve"> -trên excel</t>
    </r>
  </si>
  <si>
    <r>
      <t>-Sheet</t>
    </r>
    <r>
      <rPr>
        <sz val="11"/>
        <color rgb="FFFF0000"/>
        <rFont val="Calibri"/>
        <family val="2"/>
        <scheme val="minor"/>
      </rPr>
      <t xml:space="preserve"> Data 2- Doanh số bán</t>
    </r>
    <r>
      <rPr>
        <sz val="11"/>
        <color theme="1"/>
        <rFont val="Calibri"/>
        <family val="2"/>
        <scheme val="minor"/>
      </rPr>
      <t>-trên excel</t>
    </r>
  </si>
  <si>
    <t xml:space="preserve">1. Sử dụng bảng biểu, chart phù hợp </t>
  </si>
  <si>
    <t xml:space="preserve">1. Sử dụng bảng biểu, chart phù hợp để thể hiện đánh giá </t>
  </si>
  <si>
    <r>
      <t>-Target-</t>
    </r>
    <r>
      <rPr>
        <sz val="11"/>
        <color rgb="FFFF0000"/>
        <rFont val="Calibri"/>
        <family val="2"/>
        <scheme val="minor"/>
      </rPr>
      <t xml:space="preserve"> BI TEST</t>
    </r>
    <r>
      <rPr>
        <sz val="11"/>
        <color theme="1"/>
        <rFont val="Calibri"/>
        <family val="2"/>
        <scheme val="minor"/>
      </rPr>
      <t>- Google sheet  (lấy source vào)</t>
    </r>
  </si>
  <si>
    <r>
      <t xml:space="preserve">3. Sử dụng Power pivot xử lý , </t>
    </r>
    <r>
      <rPr>
        <b/>
        <i/>
        <sz val="11"/>
        <color rgb="FFFF0000"/>
        <rFont val="Calibri"/>
        <family val="2"/>
        <scheme val="minor"/>
      </rPr>
      <t xml:space="preserve">KHÔNG </t>
    </r>
    <r>
      <rPr>
        <b/>
        <i/>
        <sz val="11"/>
        <color theme="4"/>
        <rFont val="Calibri"/>
        <family val="2"/>
        <scheme val="minor"/>
      </rPr>
      <t>sử dụng excel thông thường</t>
    </r>
  </si>
  <si>
    <t>(Không sửa trực tiếp vào dữ liệu)</t>
  </si>
  <si>
    <t>4. Sử dụng excel hoặc power pivot</t>
  </si>
  <si>
    <t>3. Trong dữ liệu có một số sản phẩm được xếp không đúng nhóm hàng, sử dụng Power Query hiệu chỉnh dữ liệu)</t>
  </si>
  <si>
    <t>TEST BI</t>
  </si>
  <si>
    <t>https://docs.google.com/spreadsheets/d/1GrYfHlSVsLck-Q2CH4x9MuEhc5MjCouk1L8XyczdZCc/edit?usp=sharing</t>
  </si>
  <si>
    <t xml:space="preserve"> Biết data tại thời điểm ngày 12/7. 
Đưa ra nhận xét về tồn kho theo sản phẩm, nhóm ngành hàng. Dự đoán đến cuối tháng 7, có cần thực hiện hành động  gì để đảm bảo cân đối  lượng trữ tồn hay không. Nếu có, cho ví dụ.</t>
  </si>
  <si>
    <t>Flag tồn kho</t>
  </si>
  <si>
    <t>APPLE IPAD 10.2 2019 4G 128GB</t>
  </si>
  <si>
    <t>Đã kiểm kê</t>
  </si>
  <si>
    <t>APPLE IPAD 10.2 2019 4G 32GB</t>
  </si>
  <si>
    <t>APPLE IPAD 10.2 2019 4G 32GB CŨ</t>
  </si>
  <si>
    <t>APPLE IPAD 10.2 2019 4G 32GB-XÁM</t>
  </si>
  <si>
    <t>APPLE IPAD 10.2 2019 WI-FI 128GB CHÍNH HÃNG</t>
  </si>
  <si>
    <t>Chưa kiểm kê</t>
  </si>
  <si>
    <t>APPLE IPAD 10.2 2019 WI-FI 128GB CHÍNH HÃNG CŨ-VÀNG</t>
  </si>
  <si>
    <t>APPLE IPAD 10.2 2019 WI-FI 32GB CHÍNH HÃNG</t>
  </si>
  <si>
    <t>APPLE IPAD 10.2 2019 WI-FI 32GB CHÍNH HÃNG-VÀNG</t>
  </si>
  <si>
    <t>APPLE IPAD 9.7 2018 4G 32GB CŨ</t>
  </si>
  <si>
    <t>APPLE IPAD 9.7 2018 WI-FI 128GB CŨ</t>
  </si>
  <si>
    <t>APPLE IPAD 9.7 2018 WI-FI 32GB CŨ</t>
  </si>
  <si>
    <t>APPLE IPAD AIR 10.5 WIFI 256GB CHÍNH HÃNG</t>
  </si>
  <si>
    <t>APPLE IPAD AIR 10.5 WIFI 256GB CHÍNH HÃNG ĐÃ KÍCH HOẠT</t>
  </si>
  <si>
    <t>APPLE IPAD AIR 10.5 WIFI 64GB - ĐỔI BẢO HÀNH</t>
  </si>
  <si>
    <t>APPLE IPAD AIR 10.5 WIFI 64GB CŨ</t>
  </si>
  <si>
    <t>APPLE IPAD AIR 10.5 WIFI 64GB ĐÃ KÍCH HOẠT BẢO HÀNH</t>
  </si>
  <si>
    <t>APPLE IPAD AIR 10.5 WIFI 64GB ĐÃ KÍCH HOẠT BẢO HÀNH-BẠC</t>
  </si>
  <si>
    <t>APPLE IPAD AIR 2 4G 64GB CŨ</t>
  </si>
  <si>
    <t>APPLE IPAD AIR 2 4G 64GB CŨ-VÀNG</t>
  </si>
  <si>
    <t>APPLE IPAD MINI 3 4G 16GB CŨ</t>
  </si>
  <si>
    <t>APPLE IPAD MINI 3 WI-FI 16GB CŨ</t>
  </si>
  <si>
    <t>APPLE IPAD MINI 4 4G 64GB CŨ</t>
  </si>
  <si>
    <t>APPLE IPAD MINI 5 4G 64GB CHÍNH HÃNG</t>
  </si>
  <si>
    <t>APPLE IPAD MINI 5 4G 64GB CŨ</t>
  </si>
  <si>
    <t>APPLE IPAD MINI 5 WIFI 256GB CHÍNH HÃNG</t>
  </si>
  <si>
    <t>APPLE IPAD MINI 5 WIFI 64GB</t>
  </si>
  <si>
    <t>APPLE IPAD MINI 5 WIFI 64GB CHÍNH HÃNG</t>
  </si>
  <si>
    <t>APPLE IPAD MINI 5 WIFI 64GB CŨ</t>
  </si>
  <si>
    <t>APPLE IPAD PRO 10.5 2017 4G 256GB</t>
  </si>
  <si>
    <t>APPLE IPAD PRO 10.5 4G 256GB ĐỔI BẢO HÀNH</t>
  </si>
  <si>
    <t>APPLE IPAD PRO 10.5 4G 512GB CŨ</t>
  </si>
  <si>
    <t>APPLE IPAD PRO 10.5 4G 64GB CŨ</t>
  </si>
  <si>
    <t>APPLE IPAD PRO 11 2018 4G 256GB</t>
  </si>
  <si>
    <t>APPLE IPAD PRO 11 2018 4G 256GB CŨ</t>
  </si>
  <si>
    <t>APPLE IPAD PRO 11 2018 4G 64GB</t>
  </si>
  <si>
    <t>APPLE IPAD PRO 11 2018 4G 64GB CHÍNH HÃNG - ĐÃ KÍCH HOẠT BẢO HÀNH</t>
  </si>
  <si>
    <t>APPLE IPAD PRO 11 2018 4G 64GB CŨ</t>
  </si>
  <si>
    <t>APPLE IPAD PRO 11 2018 WI-FI 25GB</t>
  </si>
  <si>
    <t>APPLE IPAD PRO 11 2018 WI-FI 25GB CŨ</t>
  </si>
  <si>
    <t>APPLE IPAD PRO 11 2018 WI-FI 64GB - ĐỔI BẢO HÀNH</t>
  </si>
  <si>
    <t>APPLE IPAD PRO 11 2018 WI-FI 64GB CHÍNH HÃNG - ĐÃ KÍCH HOẠT BẢO HÀNH</t>
  </si>
  <si>
    <t>APPLE IPAD PRO 11 2018 WI-FI 64GB CŨ</t>
  </si>
  <si>
    <t>APPLE IPAD PRO 11 2020 4G 256GB CHÍNH HÃNG</t>
  </si>
  <si>
    <t>APPLE IPAD PRO 11 2020 WIFI 128GB</t>
  </si>
  <si>
    <t>APPLE IPAD PRO 11 2020 WIFI 256GB CHÍNH HÃNG</t>
  </si>
  <si>
    <t>APPLE IPAD PRO 12.9 2015 WIFI 32GB CŨ</t>
  </si>
  <si>
    <t>APPLE IPAD PRO 9.7 4G 128GB CŨ</t>
  </si>
  <si>
    <t>APPLE IPAD PRO 9.7 4G 256GB CHÍNH HÃNG</t>
  </si>
  <si>
    <t>APPLE IPHONE 11 64GB 2 SIM CŨ</t>
  </si>
  <si>
    <t>APPLE IPHONE 5S 16GB CŨ-GOLD</t>
  </si>
  <si>
    <t>APPLE IPHONE 5S 16GB CŨ-GRAY</t>
  </si>
  <si>
    <t>APPLE IPHONE 5S 16GB CŨ-SILVER</t>
  </si>
  <si>
    <t>APPLE IPHONE 6 16GB CŨ</t>
  </si>
  <si>
    <t>APPLE IPHONE 6 32GB CŨ</t>
  </si>
  <si>
    <t>APPLE IPHONE 6 PLUS 128GB CŨ</t>
  </si>
  <si>
    <t>APPLE IPHONE 6S 32GB</t>
  </si>
  <si>
    <t>APPLE IPHONE 6S 32GB CHÍNH HÃNG ĐÃ KÍCH HOẠT BẢO HÀNH</t>
  </si>
  <si>
    <t>APPLE IPHONE 6S 32GB CŨ</t>
  </si>
  <si>
    <t>APPLE IPHONE 6S 64GB CŨ</t>
  </si>
  <si>
    <t>APPLE IPHONE 6S PLUS 16GB CŨ</t>
  </si>
  <si>
    <t>APPLE IPHONE 6S PLUS 32GB</t>
  </si>
  <si>
    <t>APPLE IPHONE 6S PLUS 32GB CŨ</t>
  </si>
  <si>
    <t>APPLE IPHONE 6S PLUS CŨ 32GB</t>
  </si>
  <si>
    <t>APPLE IPHONE 7 128GB CŨ</t>
  </si>
  <si>
    <t>APPLE IPHONE 7 32GB CHÍNH HÃNG</t>
  </si>
  <si>
    <t>APPLE IPHONE 7 32GB CŨ</t>
  </si>
  <si>
    <t>APPLE IPHONE 7 PLUS 128GB CŨ</t>
  </si>
  <si>
    <t>APPLE IPHONE 7 PLUS 32GB CHÍNH HÃNG ĐÃ KÍCH HOẠT BẢO HÀNH</t>
  </si>
  <si>
    <t>APPLE IPHONE 7 PLUS 32GB CŨ</t>
  </si>
  <si>
    <t>APPLE IPHONE 8 256GB CŨ</t>
  </si>
  <si>
    <t>APPLE IPHONE 8 64GB</t>
  </si>
  <si>
    <t>APPLE IPHONE 8 64GB CŨ</t>
  </si>
  <si>
    <t>APPLE IPHONE 8 PLUS 256GB CŨ</t>
  </si>
  <si>
    <t>APPLE IPHONE 8 PLUS 64GB CHÍNH HÃNG - ĐÃ KÍCH HOẠT BẢO HÀNH</t>
  </si>
  <si>
    <t>APPLE IPHONE 8 PLUS 64GB CŨ</t>
  </si>
  <si>
    <t>APPLE IPHONE 8 PLUS 64GB ĐỔI BẢO HÀNH</t>
  </si>
  <si>
    <t>APPLE IPHONE SE 16GB CŨ</t>
  </si>
  <si>
    <t>APPLE IPHONE SE 64GB CŨ</t>
  </si>
  <si>
    <t>APPLE IPHONE X 256GB</t>
  </si>
  <si>
    <t>APPLE IPHONE X 256GB CHÍNH HÃNG</t>
  </si>
  <si>
    <t>APPLE IPHONE X 256GB CŨ</t>
  </si>
  <si>
    <t>APPLE IPHONE X 64GB</t>
  </si>
  <si>
    <t>APPLE IPHONE X 64GB CHÍNH HÃNG</t>
  </si>
  <si>
    <t>APPLE IPHONE X 64GB CŨ</t>
  </si>
  <si>
    <t>APPLE IPHONE XR 128GB 2 SIM CŨ</t>
  </si>
  <si>
    <t>APPLE IPHONE XR 128GB CHÍNH HÃNG</t>
  </si>
  <si>
    <t>APPLE IPHONE XR 128GB CŨ</t>
  </si>
  <si>
    <t>APPLE IPHONE XR 256GB</t>
  </si>
  <si>
    <t>APPLE IPHONE XR 256GB CHÍNH HÃNG - ĐÃ KÍCH HOẠT BẢO HÀNH ĐỎ</t>
  </si>
  <si>
    <t>APPLE IPHONE XR 256GB CŨ</t>
  </si>
  <si>
    <t>APPLE IPHONE XR 64GB 2 SIM CHÍNH HÃNG</t>
  </si>
  <si>
    <t>APPLE IPHONE XR 64GB CHÍNH HÃNG VN/A</t>
  </si>
  <si>
    <t>APPLE IPHONE XR 64GB CŨ</t>
  </si>
  <si>
    <t>APPLE IPHONE XR 64GB ĐỔI BẢO HÀNH</t>
  </si>
  <si>
    <t>APPLE IPHONE XS 256GB</t>
  </si>
  <si>
    <t>APPLE IPHONE XS 256GB CHÍNH HÃNG</t>
  </si>
  <si>
    <t>APPLE IPHONE XS 256GB CŨ</t>
  </si>
  <si>
    <t>APPLE IPHONE XS 512GB</t>
  </si>
  <si>
    <t>APPLE IPHONE XS 512GB CŨ</t>
  </si>
  <si>
    <t>APPLE IPHONE XS 64GB</t>
  </si>
  <si>
    <t>APPLE IPHONE XS 64GB CHÍNH HÃNG</t>
  </si>
  <si>
    <t>APPLE IPHONE XS 64GB CŨ</t>
  </si>
  <si>
    <t>APPLE IPHONE XS 64GB ĐỔI BẢO HÀNH</t>
  </si>
  <si>
    <t>APPLE IPHONE XS MAX 256GB</t>
  </si>
  <si>
    <t>APPLE IPHONE XS MAX 256GB 2 SIM CŨ</t>
  </si>
  <si>
    <t>APPLE IPHONE XS MAX 256GB 2 SIM CŨ 95 LỖI -VÀNG</t>
  </si>
  <si>
    <t>APPLE IPHONE XS MAX 256GB CHÍNH HÃNG ĐÃ KÍCH HOẠT BẢO HÀNH</t>
  </si>
  <si>
    <t>APPLE IPHONE XS MAX 256GB CŨ</t>
  </si>
  <si>
    <t>APPLE IPHONE XS MAX 256GB CŨ-XÁM</t>
  </si>
  <si>
    <t>APPLE IPHONE XS MAX 256GB ĐÃ KÍCH HOẠT BẢO HÀNH</t>
  </si>
  <si>
    <t>APPLE IPHONE XS MAX 512GB</t>
  </si>
  <si>
    <t>APPLE IPHONE XS MAX 512GB CŨ</t>
  </si>
  <si>
    <t>APPLE IPHONE XS MAX 64GB</t>
  </si>
  <si>
    <t>APPLE IPHONE XS MAX 64GB 2 SIM CŨ</t>
  </si>
  <si>
    <t>APPLE IPHONE XS MAX 64GB 2 SIM CŨ-VÀNG</t>
  </si>
  <si>
    <t>APPLE IPHONE XS MAX 64GB CHÍNH HÃNG VN/A</t>
  </si>
  <si>
    <t>APPLE IPHONE XS MAX 64GB CŨ</t>
  </si>
  <si>
    <t>APPLE IPHONE XS MAX 64GB ĐÃ KÍCH HOẠT BẢO HÀNH</t>
  </si>
  <si>
    <t>APPLE MACBOOK 12 256GB 2015 BẠC CŨ(MF855)</t>
  </si>
  <si>
    <t>APPLE MACBOOK AIR 11 INCH MJVM2 BẠC CŨ</t>
  </si>
  <si>
    <t>APPLE MACBOOK AIR 12 256GB 2015 CŨ</t>
  </si>
  <si>
    <t>APPLE MACBOOK AIR 13 256GB 2020 CHÍNH HÃNG</t>
  </si>
  <si>
    <t>APPLE MACBOOK AIR 13 INCH 128GB 2018 VÀNG MREE2 CHÍNH HÃNG</t>
  </si>
  <si>
    <t>APPLE MACBOOK AIR 13 INCH 128GB 2018 VÀNG MREE2 CŨ</t>
  </si>
  <si>
    <t>APPLE MACBOOK AIR 13 INCH 128GB MD231 CŨ</t>
  </si>
  <si>
    <t>APPLE MACBOOK AIR 13 INCH 128GB MQD32 CHÍNH HÃNG</t>
  </si>
  <si>
    <t>APPLE MACBOOK AIR 13 INCH 128GB MQD32 CŨ</t>
  </si>
  <si>
    <t>APPLE MACBOOK AIR 13 INCH 256GB 2016 MMGG2 CŨ</t>
  </si>
  <si>
    <t>APPLE MACBOOK AIR 13 INCH MJVE2 CŨ</t>
  </si>
  <si>
    <t>APPLE MACBOOK PRO 13 128GB 2019 BẠC CHÍNH HÃNG (MUHQ2)</t>
  </si>
  <si>
    <t>APPLE MACBOOK PRO 13 256GB 2019 4 CỔNG BẠC (MV992) CŨ</t>
  </si>
  <si>
    <t>APPLE MACBOOK PRO 13 INCH 128GB 2017 MPXR2 CŨ</t>
  </si>
  <si>
    <t>APPLE MACBOOK PRO 13 INCH 128GB MPXQ2</t>
  </si>
  <si>
    <t>APPLE MACBOOK PRO 13 INCH 256GB MLL42</t>
  </si>
  <si>
    <t>APPLE MACBOOK PRO 13 INCH MF839 CŨ</t>
  </si>
  <si>
    <t>APPLE MACBOOK PRO 13 TOUCH BAR I5 1.4 256GB 2020 XÁM CHÍNH HÃNG (MXK32) - ĐÃ KÍCH HOẠT</t>
  </si>
  <si>
    <t>APPLE MACBOOK PRO 15 INCH MJLQ2 CŨ</t>
  </si>
  <si>
    <t>APPLE MACBOOK PRO 15 INCH MJLT2 CŨ</t>
  </si>
  <si>
    <t>APPLE WATCH 3 38 MM (GPS + ESIM) VIỀN NHÔM VÀNG - DÂY HỒNG (MQJQ2) CŨ</t>
  </si>
  <si>
    <t>APPLE WATCH 3 38 MM VIỀN NHÔM BẠC - DÂY TRẮNG CHÍNH HÃNG (MTEY2)</t>
  </si>
  <si>
    <t>APPLE WATCH 3 38MM (GPS) VIỀN NHÔM BẠC - DÂY TRẮNG (MTEY2)</t>
  </si>
  <si>
    <t>APPLE WATCH 3 38MM (GPS) VIỀN NHÔM BẠC - DÂY TRẮNG (MTEY2) CŨ</t>
  </si>
  <si>
    <t>APPLE WATCH 3 38MM (GPS) VIỀN NHÔM XÁM - DÂY ĐEN (MTF02)</t>
  </si>
  <si>
    <t>APPLE WATCH 3 38MM (GPS) VIỀN NHÔM XÁM - DÂY ĐEN CHÍNH HÃNG</t>
  </si>
  <si>
    <t>APPLE WATCH 3 38MM VIỀN NHÔM XÁM - DÂY ĐEN (MQKV2) CŨ</t>
  </si>
  <si>
    <t>APPLE WATCH 3 42MM (4G) VIỀN NHÔM VÀNG - DÂY HỒNG (MQK32) CŨ</t>
  </si>
  <si>
    <t>APPLE WATCH 3 42MM (4G) VIỀN NHÔM XÁM - DÂY XÁM (MR2X2)</t>
  </si>
  <si>
    <t>APPLE WATCH 3 42MM (4G) VIỀN NHÔM XÁM - DÂY ĐEN (MQK22) CŨ</t>
  </si>
  <si>
    <t>APPLE WATCH 3 42MM (4G) VIỀN THÉP ĐEN - DÂY ĐEN (MQK92) CŨ</t>
  </si>
  <si>
    <t>APPLE WATCH 3 42MM (GPS) VIỀN NHÔM BẠC - DÂY BẠC CHÍNH HÃNG (MTF22)</t>
  </si>
  <si>
    <t>APPLE WATCH 3 42MM (GPS) VIỀN NHÔM XÁM - DÂY ĐEN (MTF32)</t>
  </si>
  <si>
    <t>APPLE WATCH 3 42MM (GPS) VIỀN NHÔM XÁM - DÂY ĐEN (MTF32) CŨ</t>
  </si>
  <si>
    <t>APPLE WATCH 3 42MM (GPS) VIỀN NHÔM XÁM - DÂY ĐEN CHÍNH HÃNG (MTF32)</t>
  </si>
  <si>
    <t>APPLE WATCH 3 42MM VIỀN NHÔM XÁM - DÂY ĐEN (MQL12) CŨ</t>
  </si>
  <si>
    <t>APPLE WATCH 3 NIKE+ (PLUS) 42 MM VIỀN NHÔM XÁM - DÂY ĐEN (MQL42)</t>
  </si>
  <si>
    <t>APPLE WATCH 3 NIKE+ 38MM (GPS) VIỀN NHÔM XÁM - DÂY ĐEN CHÍNH HÃNG (MTF12)</t>
  </si>
  <si>
    <t>APPLE WATCH 3 NIKE+ 42 MM VIỀN NHÔM BẠC - DÂY ĐEN (MQL32) CŨ</t>
  </si>
  <si>
    <t>APPLE WATCH 4 (4G) 44MM VIỀN NHÔM XÁM - DÂY ĐEN (MTUW2) CŨ</t>
  </si>
  <si>
    <t>APPLE WATCH 4 40MM (GPS) VIỀN NHÔM BẠC - DÂY TRẮNG (MU642) CŨ</t>
  </si>
  <si>
    <t>APPLE WATCH 4 40MM (GPS) VIỀN NHÔM VÀNG - DÂY HỒNG (MU682) CŨ</t>
  </si>
  <si>
    <t>APPLE WATCH 4 40MM (GPS) VIỀN NHÔM XÁM - DÂY ĐEN (MU662) CŨ</t>
  </si>
  <si>
    <t>APPLE WATCH 4 44MM (GPS) VIỀN NHÔM BẠC - DÂY TRẮNG (MU6A2) CŨ</t>
  </si>
  <si>
    <t>APPLE WATCH 4 44MM (GPS) VIỀN NHÔM VÀNG - DÂY HỒNG (MU6F2) CŨ</t>
  </si>
  <si>
    <t>APPLE WATCH 4 44MM (GPS) VIỀN NHÔM XÁM - DÂY VẢI ĐEN CHÍNH HÃNG (MU6E2) CŨ</t>
  </si>
  <si>
    <t>APPLE WATCH 4 44MM (GPS) VIỀN NHÔM XÁM - DÂY ĐEN (MU6D2)</t>
  </si>
  <si>
    <t>APPLE WATCH 4 44MM (GPS) VIỀN NHÔM XÁM - DÂY ĐEN (MU6D2) CHÍNH HÃNG</t>
  </si>
  <si>
    <t>APPLE WATCH 4 44MM (GPS) VIỀN NHÔM XÁM - DÂY ĐEN (MU6D2) CŨ</t>
  </si>
  <si>
    <t>APPLE WATCH 4 NIKE+ 40MM (GPS) VIỀN NHÔM BẠC - DÂY VẢI TRẮNG (MU7F2)</t>
  </si>
  <si>
    <t>APPLE WATCH 4 NIKE+ 40MM (GPS) VIỀN NHÔM BẠC - DÂY ĐEN (MU6H2) CŨ</t>
  </si>
  <si>
    <t>APPLE WATCH 5 40MM (4G) VIỀN NHÔM BẠC - DÂY TRẮNG CHÍNH HÃNG (MWX12)</t>
  </si>
  <si>
    <t>APPLE WATCH 5 40MM (4G) VIỀN NHÔM VÀNG - DÂY HỒNG CHÍNH HÃNG (MWX22/MWWP2)</t>
  </si>
  <si>
    <t>APPLE WATCH 5 40MM (4G) VIỀN THÉP VÀNG - DÂY VÀNG  (MWX62)</t>
  </si>
  <si>
    <t>APPLE WATCH 5 40MM (GPS) VIỀN NHÔM VÀNG - DÂY HỒNG CHÍNH HÃNG (MWV72)</t>
  </si>
  <si>
    <t>APPLE WATCH 5 40MM (GPS) VIỀN NHÔM VÀNG - DÂY HỒNG CHÍNH HÃNG (MWV72) ĐÃ KÍCH HOẠT</t>
  </si>
  <si>
    <t>APPLE WATCH 5 40MM (GPS) VIỀN NHÔM XÁM - DÂY ĐEN CHÍNH HÃNG (MWV82)</t>
  </si>
  <si>
    <t>APPLE WATCH 5 40MM (GPS) VIỀN NHÔM XÁM - DÂY ĐEN CHÍNH HÃNG (MWV82) CŨ</t>
  </si>
  <si>
    <t>APPLE WATCH 5 40MM (GPS) VIỀN NHÔM XÁM - DÂY ĐEN CHÍNH HÃNG (MWV82) ĐÃ KÍCH HOẠT</t>
  </si>
  <si>
    <t>APPLE WATCH 5 44MM (4G) VIỀN NHÔM VÀNG - DÂY HỒNG CHÍNH HÃNG (MWWD2)</t>
  </si>
  <si>
    <t>APPLE WATCH 5 44MM (4G) VIỀN NHÔM XÁM - DÂY ĐEN CHÍNH HÃNG (MWWE2)</t>
  </si>
  <si>
    <t>APPLE WATCH 5 44MM (4G) VIỀN THÉP XÁM - DÂY ĐEN CHÍNH HÃNG (MWWK2)</t>
  </si>
  <si>
    <t>APPLE WATCH 5 44MM (GPS) VIỀN NHÔM VÀNG - DÂY HỒNG CHÍNH HÃNG (MWVE2)</t>
  </si>
  <si>
    <t>APPLE WATCH 5 44MM (GPS) VIỀN NHÔM XÁM - DÂY ĐEN CHÍNH HÃNG (MWVF2)</t>
  </si>
  <si>
    <t>APPLE WATCH 5 44MM (GPS) VIỀN NHÔM XÁM - DÂY ĐEN CHÍNH HÃNG (MWVF2) ĐÃ KÍCH HOẠT</t>
  </si>
  <si>
    <t>APPLE WATCH 5 NIKE+ 40MM (4G) VIỀN NHÔM BẠC - DÂY CAO SU ĐEN CHÍNH HÃNG (MX3C2)</t>
  </si>
  <si>
    <t>ASUS ROG PHONE 128GB CŨ</t>
  </si>
  <si>
    <t>ASUS ROG PHONE 2 512GB CŨ</t>
  </si>
  <si>
    <t>ASUS ZENFONE LIVE L1 ĐÃ KÍCH HOẠT BẢO HÀNH</t>
  </si>
  <si>
    <t>ASUS ZENFONE MAX M2 4GB CŨ</t>
  </si>
  <si>
    <t>ASUS ZENFONE MAX PRO M2 3GB CŨ</t>
  </si>
  <si>
    <t>ASUS ZENFONE MAX PRO M2 3GB ĐÃ KÍCH HOẠT BẢO HÀNH</t>
  </si>
  <si>
    <t>HONOR 10 LITE CŨ</t>
  </si>
  <si>
    <t>HONOR PLAY CŨ</t>
  </si>
  <si>
    <t>HUAWEI MATE 30 PRO</t>
  </si>
  <si>
    <t>HUAWEI NOVA 7I</t>
  </si>
  <si>
    <t>HUAWEI P20 PRO CŨ</t>
  </si>
  <si>
    <t>HUAWEI P30 LITE</t>
  </si>
  <si>
    <t>HUAWEI P30 LITE CŨ</t>
  </si>
  <si>
    <t>HUAWEI P30 PRO CŨ</t>
  </si>
  <si>
    <t>HUAWEI P40</t>
  </si>
  <si>
    <t>HUAWEI P40 PRO</t>
  </si>
  <si>
    <t>HUAWEI Y6P</t>
  </si>
  <si>
    <t>HUAWEI Y7 PRO 2019 CŨ</t>
  </si>
  <si>
    <t>HUAWEI Y9S 2019</t>
  </si>
  <si>
    <t>IPHONE 11 128GB (VN/A)</t>
  </si>
  <si>
    <t>IPHONE 11 128GB 2 SIM</t>
  </si>
  <si>
    <t>IPHONE 11 128GB 2 SIM CŨ</t>
  </si>
  <si>
    <t>IPHONE 11 128GB CHÍNH HÃNG</t>
  </si>
  <si>
    <t>IPHONE 11 128GB CŨ</t>
  </si>
  <si>
    <t>IPHONE 11 256GB</t>
  </si>
  <si>
    <t>IPHONE 11 64GB</t>
  </si>
  <si>
    <t>IPHONE 11 64GB CHÍNH HÃNG</t>
  </si>
  <si>
    <t>IPHONE 11 64GB CŨ</t>
  </si>
  <si>
    <t>IPHONE 11 PRO 256GB</t>
  </si>
  <si>
    <t>IPHONE 11 PRO 256GB CHÍNH HÃNG</t>
  </si>
  <si>
    <t>IPHONE 11 PRO 64GB</t>
  </si>
  <si>
    <t>IPHONE 11 PRO 64GB CŨ</t>
  </si>
  <si>
    <t>IPHONE 11 PRO MAX 256GB</t>
  </si>
  <si>
    <t>IPHONE 11 PRO MAX 256GB CHÍNH HÃNG</t>
  </si>
  <si>
    <t>IPHONE 11 PRO MAX 256GB CŨ</t>
  </si>
  <si>
    <t>IPHONE 11 PRO MAX 512GB</t>
  </si>
  <si>
    <t>IPHONE 11 PRO MAX 512GB CŨ</t>
  </si>
  <si>
    <t>IPHONE 11 PRO MAX 64GB</t>
  </si>
  <si>
    <t>IPHONE 11 PRO MAX 64GB 2 SIM CŨ</t>
  </si>
  <si>
    <t>IPHONE 11 PRO MAX 64GB CŨ</t>
  </si>
  <si>
    <t>IPHONE 11 PRO MAX CHÍNH HÃNG</t>
  </si>
  <si>
    <t>IPHONE 8 PLUS 128GB (VN/A)-VÀNG</t>
  </si>
  <si>
    <t>IPHONE 8 PLUS 128GB CHÍNH HÃNG</t>
  </si>
  <si>
    <t>IPHONE SE 2020 128GB CHÍNH HÃNG VN/A</t>
  </si>
  <si>
    <t>IPHONE SE 2020 256GB CHÍNH HÃNG VN/A</t>
  </si>
  <si>
    <t>IPHONE SE 2020 CHÍNH HÃNG VN/A</t>
  </si>
  <si>
    <t>IPHONE SE 2020 CHÍNH HÃNG VN/A TRẮNG</t>
  </si>
  <si>
    <t>IPHONE SE 2020 CHÍNH HÃNG VN/A ĐEN</t>
  </si>
  <si>
    <t>IPHONE SE 2020 CŨ</t>
  </si>
  <si>
    <t>ITEL IT2580 CŨ</t>
  </si>
  <si>
    <t>MACBOOK AIR 13 128GB 2019 XÁM (MVFH2)</t>
  </si>
  <si>
    <t>MACBOOK AIR 13 256GB 2019 BẠC (MVFL2) CHÍNH HÃNG</t>
  </si>
  <si>
    <t>MACBOOK PRO 13 256GB 2015 (MF840) CŨ</t>
  </si>
  <si>
    <t>NOKIA 1 CŨ</t>
  </si>
  <si>
    <t>NOKIA 105 (2017) 2 SIM CŨ</t>
  </si>
  <si>
    <t>NOKIA 110 CŨ</t>
  </si>
  <si>
    <t>NOKIA 130 (2017) 2 SIM ĐÃ KÍCH HOẠT BẢO HÀNH</t>
  </si>
  <si>
    <t>NOKIA 130 CŨ</t>
  </si>
  <si>
    <t>NOKIA 2.2</t>
  </si>
  <si>
    <t>NOKIA 2.2 CŨ</t>
  </si>
  <si>
    <t>NOKIA 2.3</t>
  </si>
  <si>
    <t>NOKIA 210 CŨ</t>
  </si>
  <si>
    <t>NOKIA 2720 FLIP</t>
  </si>
  <si>
    <t>NOKIA 2720 FLIP-ĐEN</t>
  </si>
  <si>
    <t>NOKIA 3.1 16GB CŨ</t>
  </si>
  <si>
    <t>NOKIA 3.2 2GB CŨ</t>
  </si>
  <si>
    <t>NOKIA 3.2 3GB</t>
  </si>
  <si>
    <t>NOKIA 3.2 3GB CŨ</t>
  </si>
  <si>
    <t>NOKIA 5.1 PLUS 32GB CŨ</t>
  </si>
  <si>
    <t>NOKIA 5.1 PLUS 32GB XANH CŨ 95</t>
  </si>
  <si>
    <t>NOKIA 5.3</t>
  </si>
  <si>
    <t>NOKIA 6.1 PLUS</t>
  </si>
  <si>
    <t>NOKIA 6.1 PLUS CŨ</t>
  </si>
  <si>
    <t>NOKIA 7.2</t>
  </si>
  <si>
    <t>NOKIA 7.2 CŨ</t>
  </si>
  <si>
    <t>NOKIA 8.1 CŨ</t>
  </si>
  <si>
    <t>NOKIA 800 TOUGH CŨ</t>
  </si>
  <si>
    <t>NOKIA C2</t>
  </si>
  <si>
    <t>OPPO A31</t>
  </si>
  <si>
    <t>OPPO A31 6GB</t>
  </si>
  <si>
    <t>OPPO A5 2020</t>
  </si>
  <si>
    <t>OPPO A9 2020</t>
  </si>
  <si>
    <t>OPPO A9 2020 CŨ</t>
  </si>
  <si>
    <t>OPPO A92</t>
  </si>
  <si>
    <t>OPPO F11 PRO CŨ</t>
  </si>
  <si>
    <t>OPPO FIND X2</t>
  </si>
  <si>
    <t>OPPO RENO 2F</t>
  </si>
  <si>
    <t>OPPO RENO 2F CŨ</t>
  </si>
  <si>
    <t>OPPO RENO 3</t>
  </si>
  <si>
    <t>OPPO RENO 3 PRO</t>
  </si>
  <si>
    <t>OPPO RENO CŨ</t>
  </si>
  <si>
    <t>REALME 3 64GB ĐÃ KÍCH HOẠT BẢO HÀNH</t>
  </si>
  <si>
    <t>REALME 3 CŨ</t>
  </si>
  <si>
    <t>REALME 5 3G 64GB CŨ</t>
  </si>
  <si>
    <t>REALME 5 PRO 4G CŨ</t>
  </si>
  <si>
    <t>REALME 5 PRO 8GB</t>
  </si>
  <si>
    <t>REALME 5 PRO 8GB CŨ</t>
  </si>
  <si>
    <t>REALME 5 PRO CŨ</t>
  </si>
  <si>
    <t>REALME 5I</t>
  </si>
  <si>
    <t>REALME 5I 3GB 32GB</t>
  </si>
  <si>
    <t>REALME 5S</t>
  </si>
  <si>
    <t>REALME 6</t>
  </si>
  <si>
    <t>REALME 6 8GB</t>
  </si>
  <si>
    <t>REALME 6 PRO 8G 128G</t>
  </si>
  <si>
    <t>REALME 6I-TRẮNG</t>
  </si>
  <si>
    <t>REALME 6I-XANH</t>
  </si>
  <si>
    <t>REALME C2 2GB 32GB</t>
  </si>
  <si>
    <t>REALME C3</t>
  </si>
  <si>
    <t>REALME C3I</t>
  </si>
  <si>
    <t>REALME XT</t>
  </si>
  <si>
    <t>REDMI NOTE 7 32GB CŨ</t>
  </si>
  <si>
    <t>REDMI NOTE 7 CŨ</t>
  </si>
  <si>
    <t>SAMSUNG GALAXY A01</t>
  </si>
  <si>
    <t>SAMSUNG GALAXY A01 CŨ</t>
  </si>
  <si>
    <t>SAMSUNG GALAXY A10 CŨ</t>
  </si>
  <si>
    <t>SAMSUNG GALAXY A10S CŨ</t>
  </si>
  <si>
    <t>SAMSUNG GALAXY A11</t>
  </si>
  <si>
    <t>SAMSUNG GALAXY A11-TRẮNG</t>
  </si>
  <si>
    <t>SAMSUNG GALAXY A20 CŨ</t>
  </si>
  <si>
    <t>SAMSUNG GALAXY A20-XANH</t>
  </si>
  <si>
    <t>SAMSUNG GALAXY A21S</t>
  </si>
  <si>
    <t>SAMSUNG GALAXY A30 32GB CŨ</t>
  </si>
  <si>
    <t>SAMSUNG GALAXY A30 64GB CŨ</t>
  </si>
  <si>
    <t>SAMSUNG GALAXY A30S</t>
  </si>
  <si>
    <t>SAMSUNG GALAXY A31</t>
  </si>
  <si>
    <t>SAMSUNG GALAXY A31-TRẮNG</t>
  </si>
  <si>
    <t>SAMSUNG GALAXY A50 128GB CŨ</t>
  </si>
  <si>
    <t>SAMSUNG GALAXY A50 CŨ</t>
  </si>
  <si>
    <t>SAMSUNG GALAXY A50S CŨ</t>
  </si>
  <si>
    <t>SAMSUNG GALAXY A51</t>
  </si>
  <si>
    <t>SAMSUNG GALAXY A51 CŨ</t>
  </si>
  <si>
    <t>SAMSUNG GALAXY A7 2018 64GB CŨ</t>
  </si>
  <si>
    <t>SAMSUNG GALAXY A70</t>
  </si>
  <si>
    <t>SAMSUNG GALAXY A70 CŨ</t>
  </si>
  <si>
    <t>SAMSUNG GALAXY A70 ĐÃ KÍCH HOẠT BẢO HÀNH</t>
  </si>
  <si>
    <t>SAMSUNG GALAXY A71</t>
  </si>
  <si>
    <t>SAMSUNG GALAXY A71 CŨ</t>
  </si>
  <si>
    <t>SAMSUNG GALAXY A8 STAR CŨ</t>
  </si>
  <si>
    <t>SAMSUNG GALAXY A80</t>
  </si>
  <si>
    <t>SAMSUNG GALAXY A80 CŨ</t>
  </si>
  <si>
    <t>SAMSUNG GALAXY M21</t>
  </si>
  <si>
    <t>SAMSUNG GALAXY M21 CŨ</t>
  </si>
  <si>
    <t>SAMSUNG GALAXY NOTE 10</t>
  </si>
  <si>
    <t>SAMSUNG GALAXY NOTE 10 CŨ</t>
  </si>
  <si>
    <t>SAMSUNG GALAXY NOTE 10 LITE</t>
  </si>
  <si>
    <t>SAMSUNG GALAXY NOTE 10 LITE CŨ</t>
  </si>
  <si>
    <t>SAMSUNG GALAXY NOTE 10+ (PLUS)</t>
  </si>
  <si>
    <t>SAMSUNG GALAXY NOTE 10+ (PLUS) CŨ</t>
  </si>
  <si>
    <t>SAMSUNG GALAXY NOTE 5 CŨ</t>
  </si>
  <si>
    <t>SAMSUNG GALAXY NOTE 8 CŨ</t>
  </si>
  <si>
    <t>SAMSUNG GALAXY NOTE 9 512GB CŨ</t>
  </si>
  <si>
    <t>SAMSUNG GALAXY NOTE 9 CŨ</t>
  </si>
  <si>
    <t>SAMSUNG GALAXY S10 CŨ</t>
  </si>
  <si>
    <t>SAMSUNG GALAXY S10+ (PLUS) CŨ</t>
  </si>
  <si>
    <t>SAMSUNG GALAXY S10+ (PLUS) ĐÃ KÍCH HOẠT BẢO HÀNH</t>
  </si>
  <si>
    <t>SAMSUNG GALAXY S20</t>
  </si>
  <si>
    <t>SAMSUNG GALAXY S20 ULTRA</t>
  </si>
  <si>
    <t>SAMSUNG GALAXY S20+ (PLUS)</t>
  </si>
  <si>
    <t>SAMSUNG GALAXY S8+ CŨ</t>
  </si>
  <si>
    <t>SAMSUNG GALAXY S9 CŨ</t>
  </si>
  <si>
    <t>SAMSUNG GALAXY S9+ 64GB CŨ</t>
  </si>
  <si>
    <t>SAMSUNG GALAXY TAB A 8 PLUS 2019 ĐEN - AT</t>
  </si>
  <si>
    <t>SAMSUNG GALAXY TAB A8 2019 (T295)</t>
  </si>
  <si>
    <t>SAMSUNG GALAXY TAB S6</t>
  </si>
  <si>
    <t>SAMSUNG GALAXY TAB S6 CŨ</t>
  </si>
  <si>
    <t>SAMSUNG GALAXY TAB S6 LITE</t>
  </si>
  <si>
    <t>SAMSUNG GALAXY WATCH 42MM CŨ</t>
  </si>
  <si>
    <t>SAMSUNG GALAXY WATCH ACTIVE 2 40MM VỎ THÉP</t>
  </si>
  <si>
    <t>SAMSUNG GALAXY WATCH ACTIVE 2 44MM UNDER ARMOUR</t>
  </si>
  <si>
    <t>SAMSUNG GALAXY WATCH ACTIVE 2 44MM VỎ NHÔM ĐÃ KÍCH HOẠT</t>
  </si>
  <si>
    <t>SAMSUNG GALAXY WATCH ACTIVE 2 44MM VỎ THÉP ĐÃ KÍCH HOẠT</t>
  </si>
  <si>
    <t>SAMSUNG GALAXY WATCH ACTIVE 2 4G LTE 40MM VỎ NHÔM</t>
  </si>
  <si>
    <t>SAMSUNG GALAXY WATCH ACTIVE 2 4G LTE 44MM VỎ THÉP</t>
  </si>
  <si>
    <t>SAMSUNG GALAXY WATCH ACTIVE 2 ĐÃ KÍCH HOẠT</t>
  </si>
  <si>
    <t>SAMSUNG GALAXY WATCH ACTIVE SM-R500 ĐÃ KÍCH HOẠT BẢO HÀNH</t>
  </si>
  <si>
    <t>SAMSUNG GALAXY Z FLIP</t>
  </si>
  <si>
    <t>SAMSUNG GALAXY Z FLIP CŨ</t>
  </si>
  <si>
    <t>SHARP A2 ĐÃ KÍCH HOẠT BẢO HÀNH</t>
  </si>
  <si>
    <t>SHARP AQUOS S2 CŨ</t>
  </si>
  <si>
    <t>SHARP AQUOS S3 CŨ</t>
  </si>
  <si>
    <t>VIVO V5S 64GB VÀNG CŨ</t>
  </si>
  <si>
    <t>VSMART ACTIVE 1 PLUS CŨ</t>
  </si>
  <si>
    <t>VSMART ACTIVE 1 ĐÃ KÍCH HOẠT BẢO HÀNH</t>
  </si>
  <si>
    <t>VSMART ACTIVE 3 4GB RAM</t>
  </si>
  <si>
    <t>VSMART ACTIVE 3 4GB RAM CŨ</t>
  </si>
  <si>
    <t>VSMART ACTIVE 3 6GB</t>
  </si>
  <si>
    <t>VSMART BEE</t>
  </si>
  <si>
    <t>VSMART BEE CŨ</t>
  </si>
  <si>
    <t>VSMART JOY 2 PLUS 2GB</t>
  </si>
  <si>
    <t>VSMART JOY 2 PLUS 2GB CŨ</t>
  </si>
  <si>
    <t>VSMART JOY 3 2GB</t>
  </si>
  <si>
    <t>VSMART JOY 3 2GB CŨ</t>
  </si>
  <si>
    <t>VSMART JOY 3 4GB</t>
  </si>
  <si>
    <t>VSMART JOY 3 4GB-TRẮNG</t>
  </si>
  <si>
    <t>VSMART LIVE 6GB</t>
  </si>
  <si>
    <t>VSMART LIVE 6GB CŨ</t>
  </si>
  <si>
    <t>VSMART STAR</t>
  </si>
  <si>
    <t>VSMART STAR 3</t>
  </si>
  <si>
    <t>VSMART STAR CŨ</t>
  </si>
  <si>
    <t>XIAOMI MI 6 CHÍNH HÃNG</t>
  </si>
  <si>
    <t>XIAOMI MI 9 CŨ</t>
  </si>
  <si>
    <t>XIAOMI MI 9T CŨ</t>
  </si>
  <si>
    <t>XIAOMI MI A2 LITE 64GB CŨ</t>
  </si>
  <si>
    <t>XIAOMI MI A3</t>
  </si>
  <si>
    <t>XIAOMI MI MIX 3 CŨ</t>
  </si>
  <si>
    <t>XIAOMI MI NOTE 10 LITE</t>
  </si>
  <si>
    <t>XIAOMI MI NOTE 10 LITE 64GB</t>
  </si>
  <si>
    <t>XIAOMI MI NOTE 10 PRO</t>
  </si>
  <si>
    <t>XIAOMI MI NOTE 10 PRO-TRẮNG</t>
  </si>
  <si>
    <t>XIAOMI POCOPHONE F1 128GB CŨ</t>
  </si>
  <si>
    <t>XIAOMI REDMI 6A 16GB CŨ</t>
  </si>
  <si>
    <t>XIAOMI REDMI 7 2GB RAM CŨ</t>
  </si>
  <si>
    <t>XIAOMI REDMI 7A CŨ</t>
  </si>
  <si>
    <t>XIAOMI REDMI 8 3GB</t>
  </si>
  <si>
    <t>XIAOMI REDMI 8 4GB</t>
  </si>
  <si>
    <t>XIAOMI REDMI 8A CŨ</t>
  </si>
  <si>
    <t>XIAOMI REDMI 9 32GB</t>
  </si>
  <si>
    <t>XIAOMI REDMI NOTE 6 PRO 64GB CŨ</t>
  </si>
  <si>
    <t>XIAOMI REDMI NOTE 8 32GB</t>
  </si>
  <si>
    <t>XIAOMI REDMI NOTE 8 64GB</t>
  </si>
  <si>
    <t>XIAOMI REDMI NOTE 8 64GB CŨ</t>
  </si>
  <si>
    <t>XIAOMI REDMI NOTE 8 PRO</t>
  </si>
  <si>
    <t>XIAOMI REDMI NOTE 8 PRO 128GB</t>
  </si>
  <si>
    <t>XIAOMI REDMI NOTE 8 PRO 128GB CŨ</t>
  </si>
  <si>
    <t>XIAOMI REDMI NOTE 8 PRO 64GB CŨ</t>
  </si>
  <si>
    <t>XIAOMI REDMI NOTE 9</t>
  </si>
  <si>
    <t>XIAOMI REDMI NOTE 9 3G</t>
  </si>
  <si>
    <t>XIAOMI REDMI NOTE 9 PRO</t>
  </si>
  <si>
    <t>XIAOMI REDMI NOTE 9 PRO 128GB</t>
  </si>
  <si>
    <t>XIAOMI REDMI NOTE 9S 4G 64GB</t>
  </si>
  <si>
    <t>ĐỒNG HỒ THÔNG MINH SAMSUNG GALAXY FIT ĐÃ KÍCH HOẠT</t>
  </si>
  <si>
    <t>PIC</t>
  </si>
  <si>
    <t>Ngành hàng</t>
  </si>
  <si>
    <t>LAN</t>
  </si>
  <si>
    <t>MINH</t>
  </si>
  <si>
    <t>NAM</t>
  </si>
  <si>
    <t>SANG</t>
  </si>
  <si>
    <t>Tháng</t>
  </si>
  <si>
    <t>Target</t>
  </si>
  <si>
    <t>Tháng 4</t>
  </si>
  <si>
    <t>Tháng 5</t>
  </si>
  <si>
    <t>Tháng 6</t>
  </si>
  <si>
    <t>Quý</t>
  </si>
  <si>
    <t>Row Labels</t>
  </si>
  <si>
    <t>Grand Total</t>
  </si>
  <si>
    <t>Quý 2</t>
  </si>
  <si>
    <t>Tổng Doanh Số</t>
  </si>
  <si>
    <t>Tổng Target</t>
  </si>
  <si>
    <t>% Đạt Target</t>
  </si>
  <si>
    <t>All</t>
  </si>
  <si>
    <t>Xếp Loại</t>
  </si>
  <si>
    <t>Vượt mạnh</t>
  </si>
  <si>
    <t>Gần đạt</t>
  </si>
  <si>
    <t>Đạt</t>
  </si>
  <si>
    <t>Chưa đạt</t>
  </si>
  <si>
    <t>Tổng quan doanh số và target theo tháng</t>
  </si>
  <si>
    <t>Đánh giá đạt target doanh số theo quản lí ngành hàng và ngành hàng</t>
  </si>
  <si>
    <t>Chart</t>
  </si>
  <si>
    <t>Bảng biểu</t>
  </si>
  <si>
    <t>Không Đạt</t>
  </si>
  <si>
    <t>Vượt</t>
  </si>
  <si>
    <t>Tỉ lệ đạt theo quản lý ngành (PIC)</t>
  </si>
  <si>
    <t>Tỉ lệ đạt target theo ngành hàng</t>
  </si>
  <si>
    <t>CARD</t>
  </si>
  <si>
    <t>Tỉ lệ đạt target</t>
  </si>
  <si>
    <t>Doanh số</t>
  </si>
  <si>
    <t>Đánh giá nhận xét</t>
  </si>
  <si>
    <t>Tổng Tồn</t>
  </si>
  <si>
    <t>Tốc độ bán/Ngày</t>
  </si>
  <si>
    <t>Dự báo tồn cuối tháng</t>
  </si>
  <si>
    <t>Quản lý tồn kho tháng 7 theo sản phẩm (Ngày 12/7)</t>
  </si>
  <si>
    <t>Quản lý tồn kho tháng 7 theo danh mục (Ngày 12/7)</t>
  </si>
  <si>
    <t>Sản phẩm</t>
  </si>
  <si>
    <t>Top 10 sản phẩm có tốc độ bán/ngày cao nhất theo danh mục</t>
  </si>
  <si>
    <t xml:space="preserve">Top 10 sản phẩm có khả năng thiếu hàng cao cần nhập thêm  </t>
  </si>
  <si>
    <t>Top 10 sản phẩm có số lượng tồn kho cao nhất</t>
  </si>
  <si>
    <t>Tồn kho tháng 7 theo danh mục (12/7)</t>
  </si>
  <si>
    <t>Tồn kho tháng 7 theo danh mục (12/7)(Bổ 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</si>
</sst>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 [$₫-42A]"/>
  </numFmts>
  <fonts count="18" x14ac:knownFonts="1">
    <font>
      <sz val="11"/>
      <color theme="1"/>
      <name val="Calibri"/>
      <family val="2"/>
      <scheme val="minor"/>
    </font>
    <font>
      <sz val="11"/>
      <color theme="1"/>
      <name val="Calibri"/>
      <family val="2"/>
      <scheme val="minor"/>
    </font>
    <font>
      <b/>
      <sz val="11"/>
      <color theme="3"/>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i/>
      <sz val="11"/>
      <color theme="4"/>
      <name val="Calibri"/>
      <family val="2"/>
      <scheme val="minor"/>
    </font>
    <font>
      <b/>
      <i/>
      <sz val="11"/>
      <color rgb="FFFF0000"/>
      <name val="Calibri"/>
      <family val="2"/>
      <scheme val="minor"/>
    </font>
    <font>
      <i/>
      <u/>
      <sz val="11"/>
      <color theme="5" tint="-0.249977111117893"/>
      <name val="Calibri"/>
      <family val="2"/>
      <scheme val="minor"/>
    </font>
    <font>
      <u/>
      <sz val="11"/>
      <color theme="1"/>
      <name val="Calibri"/>
      <family val="2"/>
      <scheme val="minor"/>
    </font>
    <font>
      <i/>
      <sz val="11"/>
      <color theme="1"/>
      <name val="Calibri"/>
      <family val="2"/>
      <scheme val="minor"/>
    </font>
    <font>
      <b/>
      <sz val="20"/>
      <color theme="1"/>
      <name val="Calibri"/>
      <family val="2"/>
      <scheme val="minor"/>
    </font>
    <font>
      <sz val="8"/>
      <name val="Calibri"/>
      <family val="2"/>
      <scheme val="minor"/>
    </font>
    <font>
      <b/>
      <sz val="11"/>
      <color theme="0"/>
      <name val="Calibri"/>
      <family val="2"/>
      <scheme val="minor"/>
    </font>
    <font>
      <b/>
      <sz val="14"/>
      <color theme="1"/>
      <name val="Calibri"/>
      <family val="2"/>
      <scheme val="minor"/>
    </font>
    <font>
      <sz val="14"/>
      <color theme="1"/>
      <name val="Calibri"/>
      <family val="2"/>
      <scheme val="minor"/>
    </font>
    <font>
      <b/>
      <sz val="22"/>
      <color theme="1"/>
      <name val="Calibri"/>
      <family val="2"/>
      <scheme val="minor"/>
    </font>
    <font>
      <sz val="20"/>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0"/>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
    <xf numFmtId="0" fontId="0" fillId="0" borderId="0"/>
    <xf numFmtId="43" fontId="1" fillId="0" borderId="0" applyFon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cellStyleXfs>
  <cellXfs count="52">
    <xf numFmtId="0" fontId="0" fillId="0" borderId="0" xfId="0"/>
    <xf numFmtId="3" fontId="0" fillId="0" borderId="0" xfId="0" applyNumberFormat="1"/>
    <xf numFmtId="10" fontId="0" fillId="0" borderId="0" xfId="0" applyNumberFormat="1"/>
    <xf numFmtId="164" fontId="0" fillId="0" borderId="0" xfId="1" applyNumberFormat="1" applyFont="1"/>
    <xf numFmtId="0" fontId="5" fillId="0" borderId="0" xfId="2"/>
    <xf numFmtId="0" fontId="4" fillId="0" borderId="0" xfId="0" applyFont="1"/>
    <xf numFmtId="0" fontId="0" fillId="0" borderId="0" xfId="0" quotePrefix="1"/>
    <xf numFmtId="0" fontId="6" fillId="0" borderId="0" xfId="0" applyFont="1"/>
    <xf numFmtId="0" fontId="2"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5" fillId="0" borderId="0" xfId="2" quotePrefix="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0" fillId="0" borderId="0" xfId="0" applyNumberFormat="1" applyAlignment="1">
      <alignment horizontal="center"/>
    </xf>
    <xf numFmtId="0" fontId="0" fillId="4" borderId="0" xfId="0" applyFill="1"/>
    <xf numFmtId="0" fontId="13" fillId="2" borderId="4" xfId="0" applyFont="1" applyFill="1" applyBorder="1"/>
    <xf numFmtId="0" fontId="13" fillId="2" borderId="3" xfId="0" applyFont="1" applyFill="1" applyBorder="1"/>
    <xf numFmtId="0" fontId="13" fillId="2" borderId="5" xfId="0" applyFont="1" applyFill="1" applyBorder="1"/>
    <xf numFmtId="10" fontId="0" fillId="3" borderId="2" xfId="3" applyNumberFormat="1" applyFont="1" applyFill="1" applyBorder="1"/>
    <xf numFmtId="165" fontId="0" fillId="3" borderId="1" xfId="1" applyNumberFormat="1" applyFont="1" applyFill="1" applyBorder="1"/>
    <xf numFmtId="0" fontId="15" fillId="0" borderId="0" xfId="0" applyFont="1" applyAlignment="1">
      <alignment horizontal="center"/>
    </xf>
    <xf numFmtId="0" fontId="0" fillId="0" borderId="0" xfId="0" pivotButton="1" applyFont="1"/>
    <xf numFmtId="164" fontId="0" fillId="0" borderId="0" xfId="0" applyNumberFormat="1" applyFont="1" applyAlignment="1">
      <alignment horizontal="center"/>
    </xf>
    <xf numFmtId="10" fontId="0" fillId="0" borderId="0" xfId="0" applyNumberFormat="1" applyFont="1" applyAlignment="1">
      <alignment horizontal="center"/>
    </xf>
    <xf numFmtId="0" fontId="0" fillId="0" borderId="0" xfId="0" applyFont="1" applyAlignment="1">
      <alignment horizontal="center"/>
    </xf>
    <xf numFmtId="0" fontId="0" fillId="0" borderId="0" xfId="0" applyFont="1" applyAlignment="1">
      <alignment horizontal="left"/>
    </xf>
    <xf numFmtId="0" fontId="0" fillId="0" borderId="0" xfId="0" applyNumberFormat="1" applyFont="1" applyAlignment="1">
      <alignment horizontal="center"/>
    </xf>
    <xf numFmtId="0" fontId="0" fillId="0" borderId="0" xfId="0" applyFont="1" applyAlignment="1">
      <alignment horizontal="left" indent="1"/>
    </xf>
    <xf numFmtId="0" fontId="14" fillId="0" borderId="0" xfId="0" applyFont="1" applyAlignment="1">
      <alignment horizontal="center"/>
    </xf>
    <xf numFmtId="2" fontId="0" fillId="0" borderId="0" xfId="0" applyNumberFormat="1"/>
    <xf numFmtId="1" fontId="0" fillId="0" borderId="0" xfId="0" applyNumberFormat="1"/>
    <xf numFmtId="0" fontId="4" fillId="5" borderId="0" xfId="0" applyFont="1" applyFill="1"/>
    <xf numFmtId="0" fontId="4" fillId="0" borderId="0" xfId="0" applyFont="1" applyAlignment="1">
      <alignment wrapText="1"/>
    </xf>
    <xf numFmtId="0" fontId="4" fillId="6" borderId="0" xfId="0" applyFont="1" applyFill="1"/>
    <xf numFmtId="0" fontId="4" fillId="0" borderId="0" xfId="0" applyFont="1" applyAlignment="1">
      <alignment horizontal="left" wrapText="1"/>
    </xf>
    <xf numFmtId="0" fontId="11" fillId="0" borderId="0" xfId="0" applyFont="1" applyAlignment="1">
      <alignment horizontal="center"/>
    </xf>
    <xf numFmtId="0" fontId="16"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7" fillId="0" borderId="0" xfId="0" applyFont="1" applyAlignment="1">
      <alignment horizontal="center"/>
    </xf>
  </cellXfs>
  <cellStyles count="4">
    <cellStyle name="Comma" xfId="1" builtinId="3"/>
    <cellStyle name="Hyperlink" xfId="2" builtinId="8"/>
    <cellStyle name="Normal" xfId="0" builtinId="0"/>
    <cellStyle name="Percent" xfId="3" builtinId="5"/>
  </cellStyles>
  <dxfs count="70">
    <dxf>
      <numFmt numFmtId="1" formatCode="0"/>
    </dxf>
    <dxf>
      <numFmt numFmtId="164" formatCode="_(* #,##0_);_(* \(#,##0\);_(* &quot;-&quot;??_);_(@_)"/>
    </dxf>
    <dxf>
      <numFmt numFmtId="164" formatCode="_(* #,##0_);_(* \(#,##0\);_(* &quot;-&quot;??_);_(@_)"/>
    </dxf>
    <dxf>
      <numFmt numFmtId="164" formatCode="_(* #,##0_);_(* \(#,##0\);_(* &quot;-&quot;??_);_(@_)"/>
    </dxf>
    <dxf>
      <numFmt numFmtId="35" formatCode="_(* #,##0.00_);_(* \(#,##0.00\);_(* &quot;-&quot;??_);_(@_)"/>
    </dxf>
    <dxf>
      <numFmt numFmtId="2" formatCode="0.00"/>
    </dxf>
    <dxf>
      <numFmt numFmtId="2" formatCode="0.00"/>
    </dxf>
    <dxf>
      <numFmt numFmtId="1" formatCode="0"/>
    </dxf>
    <dxf>
      <numFmt numFmtId="166" formatCode="0.000"/>
    </dxf>
    <dxf>
      <numFmt numFmtId="164" formatCode="_(* #,##0_);_(* \(#,##0\);_(* &quot;-&quot;??_);_(@_)"/>
    </dxf>
    <dxf>
      <numFmt numFmtId="164" formatCode="_(* #,##0_);_(* \(#,##0\);_(* &quot;-&quot;??_);_(@_)"/>
    </dxf>
    <dxf>
      <numFmt numFmtId="35" formatCode="_(* #,##0.00_);_(* \(#,##0.00\);_(* &quot;-&quot;??_);_(@_)"/>
    </dxf>
    <dxf>
      <numFmt numFmtId="164" formatCode="_(* #,##0_);_(* \(#,##0\);_(* &quot;-&quot;??_);_(@_)"/>
    </dxf>
    <dxf>
      <numFmt numFmtId="1" formatCode="0"/>
    </dxf>
    <dxf>
      <numFmt numFmtId="164" formatCode="_(* #,##0_);_(* \(#,##0\);_(* &quot;-&quot;??_);_(@_)"/>
    </dxf>
    <dxf>
      <numFmt numFmtId="1" formatCode="0"/>
    </dxf>
    <dxf>
      <numFmt numFmtId="164" formatCode="_(* #,##0_);_(* \(#,##0\);_(* &quot;-&quot;??_);_(@_)"/>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horizontal="center"/>
    </dxf>
    <dxf>
      <alignment horizontal="center"/>
    </dxf>
    <dxf>
      <numFmt numFmtId="164" formatCode="_(* #,##0_);_(* \(#,##0\);_(* &quot;-&quot;??_);_(@_)"/>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_(* #,##0_);_(* \(#,##0\);_(* &quot;-&quot;??_);_(@_)"/>
    </dxf>
    <dxf>
      <numFmt numFmtId="14" formatCode="0.00%"/>
    </dxf>
    <dxf>
      <alignment horizontal="center"/>
    </dxf>
    <dxf>
      <alignment horizontal="center"/>
    </dxf>
    <dxf>
      <numFmt numFmtId="164" formatCode="_(* #,##0_);_(* \(#,##0\);_(* &quot;-&quot;??_);_(@_)"/>
    </dxf>
    <dxf>
      <numFmt numFmtId="14" formatCode="0.0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0.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owerPivotData" Target="model/item.data"/><Relationship Id="rId37" Type="http://schemas.openxmlformats.org/officeDocument/2006/relationships/customXml" Target="../customXml/item4.xml"/><Relationship Id="rId53" Type="http://schemas.openxmlformats.org/officeDocument/2006/relationships/customXml" Target="../customXml/item20.xml"/><Relationship Id="rId58" Type="http://schemas.openxmlformats.org/officeDocument/2006/relationships/customXml" Target="../customXml/item25.xml"/><Relationship Id="rId74" Type="http://schemas.openxmlformats.org/officeDocument/2006/relationships/customXml" Target="../customXml/item41.xml"/><Relationship Id="rId79" Type="http://schemas.openxmlformats.org/officeDocument/2006/relationships/customXml" Target="../customXml/item46.xml"/><Relationship Id="rId5" Type="http://schemas.openxmlformats.org/officeDocument/2006/relationships/worksheet" Target="worksheets/sheet5.xml"/><Relationship Id="rId61" Type="http://schemas.openxmlformats.org/officeDocument/2006/relationships/customXml" Target="../customXml/item28.xml"/><Relationship Id="rId82" Type="http://schemas.openxmlformats.org/officeDocument/2006/relationships/customXml" Target="../customXml/item49.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77" Type="http://schemas.openxmlformats.org/officeDocument/2006/relationships/customXml" Target="../customXml/item44.xml"/><Relationship Id="rId8" Type="http://schemas.openxmlformats.org/officeDocument/2006/relationships/worksheet" Target="worksheets/sheet8.xml"/><Relationship Id="rId51" Type="http://schemas.openxmlformats.org/officeDocument/2006/relationships/customXml" Target="../customXml/item18.xml"/><Relationship Id="rId72" Type="http://schemas.openxmlformats.org/officeDocument/2006/relationships/customXml" Target="../customXml/item39.xml"/><Relationship Id="rId80"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9.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83"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78" Type="http://schemas.openxmlformats.org/officeDocument/2006/relationships/customXml" Target="../customXml/item45.xml"/><Relationship Id="rId81"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styles" Target="styles.xml"/><Relationship Id="rId24" Type="http://schemas.openxmlformats.org/officeDocument/2006/relationships/pivotCacheDefinition" Target="pivotCache/pivotCacheDefinition13.xml"/><Relationship Id="rId40" Type="http://schemas.openxmlformats.org/officeDocument/2006/relationships/customXml" Target="../customXml/item7.xml"/><Relationship Id="rId45" Type="http://schemas.openxmlformats.org/officeDocument/2006/relationships/customXml" Target="../customXml/item12.xml"/><Relationship Id="rId66"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Hợp.xlsx]C1-Bảng biểu, biểu đồ,nhận xét!PivotTable3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Tổng</a:t>
            </a:r>
            <a:r>
              <a:rPr lang="en-US" b="1" baseline="0"/>
              <a:t> quan doanh số và target theo thời  gian</a:t>
            </a:r>
            <a:endParaRPr lang="en-US" b="1"/>
          </a:p>
        </c:rich>
      </c:tx>
      <c:layout>
        <c:manualLayout>
          <c:xMode val="edge"/>
          <c:yMode val="edge"/>
          <c:x val="0.25519529876278879"/>
          <c:y val="5.1466363601979044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7225389929707"/>
          <c:y val="0.22662509542995027"/>
          <c:w val="0.67587302968344432"/>
          <c:h val="0.61334068910176032"/>
        </c:manualLayout>
      </c:layout>
      <c:barChart>
        <c:barDir val="col"/>
        <c:grouping val="clustered"/>
        <c:varyColors val="0"/>
        <c:ser>
          <c:idx val="0"/>
          <c:order val="0"/>
          <c:tx>
            <c:strRef>
              <c:f>'C1-Bảng biểu, biểu đồ,nhận xét'!$J$7</c:f>
              <c:strCache>
                <c:ptCount val="1"/>
                <c:pt idx="0">
                  <c:v>Tổng Doanh Số</c:v>
                </c:pt>
              </c:strCache>
            </c:strRef>
          </c:tx>
          <c:spPr>
            <a:solidFill>
              <a:schemeClr val="accent6">
                <a:lumMod val="60000"/>
                <a:lumOff val="40000"/>
              </a:schemeClr>
            </a:solidFill>
            <a:ln>
              <a:noFill/>
            </a:ln>
            <a:effectLst/>
          </c:spPr>
          <c:invertIfNegative val="0"/>
          <c:dLbls>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xét'!$I$8:$I$11</c:f>
              <c:strCache>
                <c:ptCount val="3"/>
                <c:pt idx="0">
                  <c:v>Tháng 4</c:v>
                </c:pt>
                <c:pt idx="1">
                  <c:v>Tháng 5</c:v>
                </c:pt>
                <c:pt idx="2">
                  <c:v>Tháng 6</c:v>
                </c:pt>
              </c:strCache>
            </c:strRef>
          </c:cat>
          <c:val>
            <c:numRef>
              <c:f>'C1-Bảng biểu, biểu đồ,nhận xét'!$J$8:$J$11</c:f>
              <c:numCache>
                <c:formatCode>_(* #,##0_);_(* \(#,##0\);_(* "-"??_);_(@_)</c:formatCode>
                <c:ptCount val="3"/>
                <c:pt idx="0">
                  <c:v>42172784000</c:v>
                </c:pt>
                <c:pt idx="1">
                  <c:v>36340800000.000008</c:v>
                </c:pt>
                <c:pt idx="2">
                  <c:v>42996800000</c:v>
                </c:pt>
              </c:numCache>
            </c:numRef>
          </c:val>
          <c:extLst>
            <c:ext xmlns:c16="http://schemas.microsoft.com/office/drawing/2014/chart" uri="{C3380CC4-5D6E-409C-BE32-E72D297353CC}">
              <c16:uniqueId val="{00000000-1A06-429A-9446-AB40898B4AD9}"/>
            </c:ext>
          </c:extLst>
        </c:ser>
        <c:ser>
          <c:idx val="1"/>
          <c:order val="1"/>
          <c:tx>
            <c:strRef>
              <c:f>'C1-Bảng biểu, biểu đồ,nhận xét'!$K$7</c:f>
              <c:strCache>
                <c:ptCount val="1"/>
                <c:pt idx="0">
                  <c:v>Tổng Target</c:v>
                </c:pt>
              </c:strCache>
            </c:strRef>
          </c:tx>
          <c:spPr>
            <a:solidFill>
              <a:schemeClr val="accent2"/>
            </a:solidFill>
            <a:ln>
              <a:noFill/>
            </a:ln>
            <a:effectLst/>
          </c:spPr>
          <c:invertIfNegative val="0"/>
          <c:dLbls>
            <c:numFmt formatCode="#,##0.00\ &quot;Tỷ&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xét'!$I$8:$I$11</c:f>
              <c:strCache>
                <c:ptCount val="3"/>
                <c:pt idx="0">
                  <c:v>Tháng 4</c:v>
                </c:pt>
                <c:pt idx="1">
                  <c:v>Tháng 5</c:v>
                </c:pt>
                <c:pt idx="2">
                  <c:v>Tháng 6</c:v>
                </c:pt>
              </c:strCache>
            </c:strRef>
          </c:cat>
          <c:val>
            <c:numRef>
              <c:f>'C1-Bảng biểu, biểu đồ,nhận xét'!$K$8:$K$11</c:f>
              <c:numCache>
                <c:formatCode>_(* #,##0_);_(* \(#,##0\);_(* "-"??_);_(@_)</c:formatCode>
                <c:ptCount val="3"/>
                <c:pt idx="0">
                  <c:v>43194014227</c:v>
                </c:pt>
                <c:pt idx="1">
                  <c:v>44792106467</c:v>
                </c:pt>
                <c:pt idx="2">
                  <c:v>42358923256</c:v>
                </c:pt>
              </c:numCache>
            </c:numRef>
          </c:val>
          <c:extLst>
            <c:ext xmlns:c16="http://schemas.microsoft.com/office/drawing/2014/chart" uri="{C3380CC4-5D6E-409C-BE32-E72D297353CC}">
              <c16:uniqueId val="{00000001-1A06-429A-9446-AB40898B4AD9}"/>
            </c:ext>
          </c:extLst>
        </c:ser>
        <c:dLbls>
          <c:showLegendKey val="0"/>
          <c:showVal val="1"/>
          <c:showCatName val="0"/>
          <c:showSerName val="0"/>
          <c:showPercent val="0"/>
          <c:showBubbleSize val="0"/>
        </c:dLbls>
        <c:gapWidth val="219"/>
        <c:overlap val="-27"/>
        <c:axId val="626008223"/>
        <c:axId val="626015903"/>
      </c:barChart>
      <c:lineChart>
        <c:grouping val="standard"/>
        <c:varyColors val="0"/>
        <c:ser>
          <c:idx val="2"/>
          <c:order val="2"/>
          <c:tx>
            <c:strRef>
              <c:f>'C1-Bảng biểu, biểu đồ,nhận xét'!$L$7</c:f>
              <c:strCache>
                <c:ptCount val="1"/>
                <c:pt idx="0">
                  <c:v>% Đạt Target</c:v>
                </c:pt>
              </c:strCache>
            </c:strRef>
          </c:tx>
          <c:spPr>
            <a:ln w="2222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xét'!$I$8:$I$11</c:f>
              <c:strCache>
                <c:ptCount val="3"/>
                <c:pt idx="0">
                  <c:v>Tháng 4</c:v>
                </c:pt>
                <c:pt idx="1">
                  <c:v>Tháng 5</c:v>
                </c:pt>
                <c:pt idx="2">
                  <c:v>Tháng 6</c:v>
                </c:pt>
              </c:strCache>
            </c:strRef>
          </c:cat>
          <c:val>
            <c:numRef>
              <c:f>'C1-Bảng biểu, biểu đồ,nhận xét'!$L$8:$L$11</c:f>
              <c:numCache>
                <c:formatCode>0.00%</c:formatCode>
                <c:ptCount val="3"/>
                <c:pt idx="0">
                  <c:v>0.97635713546712588</c:v>
                </c:pt>
                <c:pt idx="1">
                  <c:v>0.81132152216984077</c:v>
                </c:pt>
                <c:pt idx="2">
                  <c:v>1.0150588517121868</c:v>
                </c:pt>
              </c:numCache>
            </c:numRef>
          </c:val>
          <c:smooth val="1"/>
          <c:extLst>
            <c:ext xmlns:c16="http://schemas.microsoft.com/office/drawing/2014/chart" uri="{C3380CC4-5D6E-409C-BE32-E72D297353CC}">
              <c16:uniqueId val="{00000002-1A06-429A-9446-AB40898B4AD9}"/>
            </c:ext>
          </c:extLst>
        </c:ser>
        <c:dLbls>
          <c:showLegendKey val="0"/>
          <c:showVal val="1"/>
          <c:showCatName val="0"/>
          <c:showSerName val="0"/>
          <c:showPercent val="0"/>
          <c:showBubbleSize val="0"/>
        </c:dLbls>
        <c:marker val="1"/>
        <c:smooth val="0"/>
        <c:axId val="1611678207"/>
        <c:axId val="1611681087"/>
      </c:lineChart>
      <c:catAx>
        <c:axId val="62600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15903"/>
        <c:crosses val="autoZero"/>
        <c:auto val="1"/>
        <c:lblAlgn val="ctr"/>
        <c:lblOffset val="100"/>
        <c:noMultiLvlLbl val="0"/>
      </c:catAx>
      <c:valAx>
        <c:axId val="626015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Doanh</a:t>
                </a:r>
                <a:r>
                  <a:rPr lang="en-US" b="1" baseline="0"/>
                  <a:t> số</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Tỷ VND&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08223"/>
        <c:crosses val="autoZero"/>
        <c:crossBetween val="between"/>
        <c:dispUnits>
          <c:builtInUnit val="billions"/>
        </c:dispUnits>
      </c:valAx>
      <c:valAx>
        <c:axId val="16116810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Tỉ</a:t>
                </a:r>
                <a:r>
                  <a:rPr lang="en-US" b="1" baseline="0"/>
                  <a:t> lệ đạt Target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78207"/>
        <c:crosses val="max"/>
        <c:crossBetween val="between"/>
      </c:valAx>
      <c:catAx>
        <c:axId val="161167820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Thời</a:t>
                </a:r>
                <a:r>
                  <a:rPr lang="en-US" b="1" baseline="0"/>
                  <a:t> gian</a:t>
                </a:r>
                <a:endParaRPr lang="en-US" b="1"/>
              </a:p>
            </c:rich>
          </c:tx>
          <c:layout>
            <c:manualLayout>
              <c:xMode val="edge"/>
              <c:yMode val="edge"/>
              <c:x val="0.47416889951437829"/>
              <c:y val="0.947700403625969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611681087"/>
        <c:crosses val="autoZero"/>
        <c:auto val="1"/>
        <c:lblAlgn val="ctr"/>
        <c:lblOffset val="100"/>
        <c:noMultiLvlLbl val="0"/>
      </c:catAx>
      <c:spPr>
        <a:noFill/>
        <a:ln>
          <a:noFill/>
        </a:ln>
        <a:effectLst/>
      </c:spPr>
    </c:plotArea>
    <c:legend>
      <c:legendPos val="r"/>
      <c:layout>
        <c:manualLayout>
          <c:xMode val="edge"/>
          <c:yMode val="edge"/>
          <c:x val="0.80930221429503635"/>
          <c:y val="2.7325286568478324E-2"/>
          <c:w val="0.18001319586432912"/>
          <c:h val="0.152597366412001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Hợp.xlsx]C1-Bảng biểu, biểu đồ,nhận xét!PivotTable4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Tỉ</a:t>
            </a:r>
            <a:r>
              <a:rPr lang="en-US" b="1" baseline="0"/>
              <a:t> lệ đạt Target theo ngành hàng</a:t>
            </a:r>
            <a:endParaRPr lang="en-US" b="1"/>
          </a:p>
        </c:rich>
      </c:tx>
      <c:layout>
        <c:manualLayout>
          <c:xMode val="edge"/>
          <c:yMode val="edge"/>
          <c:x val="0.38034726717413303"/>
          <c:y val="4.3394018155631743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alpha val="81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0000">
              <a:alpha val="46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FFFF00">
              <a:alpha val="81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0000">
              <a:alpha val="46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alpha val="8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alpha val="4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2082188744851"/>
          <c:y val="0.14085834970022909"/>
          <c:w val="0.8255964631715772"/>
          <c:h val="0.65680513708139043"/>
        </c:manualLayout>
      </c:layout>
      <c:barChart>
        <c:barDir val="col"/>
        <c:grouping val="clustered"/>
        <c:varyColors val="0"/>
        <c:ser>
          <c:idx val="0"/>
          <c:order val="0"/>
          <c:tx>
            <c:strRef>
              <c:f>'C1-Bảng biểu, biểu đồ,nhận xét'!$C$37</c:f>
              <c:strCache>
                <c:ptCount val="1"/>
                <c:pt idx="0">
                  <c:v>% Đạt Target</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xét'!$B$38:$B$52</c:f>
              <c:strCache>
                <c:ptCount val="14"/>
                <c:pt idx="0">
                  <c:v>ASUS CŨ</c:v>
                </c:pt>
                <c:pt idx="1">
                  <c:v>NOKIA CŨ</c:v>
                </c:pt>
                <c:pt idx="2">
                  <c:v>REALME CŨ</c:v>
                </c:pt>
                <c:pt idx="3">
                  <c:v>APPLE WATCH CŨ</c:v>
                </c:pt>
                <c:pt idx="4">
                  <c:v>HONOR CŨ</c:v>
                </c:pt>
                <c:pt idx="5">
                  <c:v>VSMART CŨ</c:v>
                </c:pt>
                <c:pt idx="6">
                  <c:v>KHÁC CŨ</c:v>
                </c:pt>
                <c:pt idx="7">
                  <c:v>IPHONE CŨ</c:v>
                </c:pt>
                <c:pt idx="8">
                  <c:v>HUAWEI CŨ</c:v>
                </c:pt>
                <c:pt idx="9">
                  <c:v>SAMSUNG CŨ</c:v>
                </c:pt>
                <c:pt idx="10">
                  <c:v>OPPO CŨ</c:v>
                </c:pt>
                <c:pt idx="11">
                  <c:v>XIAOMI CŨ</c:v>
                </c:pt>
                <c:pt idx="12">
                  <c:v>IPAD CŨ</c:v>
                </c:pt>
                <c:pt idx="13">
                  <c:v>MACBOOK CŨ</c:v>
                </c:pt>
              </c:strCache>
            </c:strRef>
          </c:cat>
          <c:val>
            <c:numRef>
              <c:f>'C1-Bảng biểu, biểu đồ,nhận xét'!$C$38:$C$52</c:f>
              <c:numCache>
                <c:formatCode>General</c:formatCode>
                <c:ptCount val="14"/>
                <c:pt idx="0">
                  <c:v>4.035013768252953</c:v>
                </c:pt>
                <c:pt idx="1">
                  <c:v>1.3599605413838738</c:v>
                </c:pt>
                <c:pt idx="2">
                  <c:v>1.2541670772177604</c:v>
                </c:pt>
                <c:pt idx="3">
                  <c:v>1.218573135648811</c:v>
                </c:pt>
                <c:pt idx="4">
                  <c:v>1.1945660682761703</c:v>
                </c:pt>
                <c:pt idx="5">
                  <c:v>1.1444564903116796</c:v>
                </c:pt>
                <c:pt idx="6">
                  <c:v>1.0148056743232696</c:v>
                </c:pt>
                <c:pt idx="7">
                  <c:v>0.9377475336729949</c:v>
                </c:pt>
                <c:pt idx="8">
                  <c:v>0.93431059755010415</c:v>
                </c:pt>
                <c:pt idx="9">
                  <c:v>0.86853299247738125</c:v>
                </c:pt>
                <c:pt idx="10">
                  <c:v>0.83170373966659228</c:v>
                </c:pt>
                <c:pt idx="11">
                  <c:v>0.82551167952980131</c:v>
                </c:pt>
                <c:pt idx="12">
                  <c:v>0.79598930323321115</c:v>
                </c:pt>
                <c:pt idx="13">
                  <c:v>0.64303712869319551</c:v>
                </c:pt>
              </c:numCache>
            </c:numRef>
          </c:val>
          <c:extLst>
            <c:ext xmlns:c16="http://schemas.microsoft.com/office/drawing/2014/chart" uri="{C3380CC4-5D6E-409C-BE32-E72D297353CC}">
              <c16:uniqueId val="{00000000-B9C6-48FE-8A5C-72E80B996116}"/>
            </c:ext>
          </c:extLst>
        </c:ser>
        <c:ser>
          <c:idx val="1"/>
          <c:order val="1"/>
          <c:tx>
            <c:strRef>
              <c:f>'C1-Bảng biểu, biểu đồ,nhận xét'!$D$37</c:f>
              <c:strCache>
                <c:ptCount val="1"/>
                <c:pt idx="0">
                  <c:v>Vượt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xét'!$B$38:$B$52</c:f>
              <c:strCache>
                <c:ptCount val="14"/>
                <c:pt idx="0">
                  <c:v>ASUS CŨ</c:v>
                </c:pt>
                <c:pt idx="1">
                  <c:v>NOKIA CŨ</c:v>
                </c:pt>
                <c:pt idx="2">
                  <c:v>REALME CŨ</c:v>
                </c:pt>
                <c:pt idx="3">
                  <c:v>APPLE WATCH CŨ</c:v>
                </c:pt>
                <c:pt idx="4">
                  <c:v>HONOR CŨ</c:v>
                </c:pt>
                <c:pt idx="5">
                  <c:v>VSMART CŨ</c:v>
                </c:pt>
                <c:pt idx="6">
                  <c:v>KHÁC CŨ</c:v>
                </c:pt>
                <c:pt idx="7">
                  <c:v>IPHONE CŨ</c:v>
                </c:pt>
                <c:pt idx="8">
                  <c:v>HUAWEI CŨ</c:v>
                </c:pt>
                <c:pt idx="9">
                  <c:v>SAMSUNG CŨ</c:v>
                </c:pt>
                <c:pt idx="10">
                  <c:v>OPPO CŨ</c:v>
                </c:pt>
                <c:pt idx="11">
                  <c:v>XIAOMI CŨ</c:v>
                </c:pt>
                <c:pt idx="12">
                  <c:v>IPAD CŨ</c:v>
                </c:pt>
                <c:pt idx="13">
                  <c:v>MACBOOK CŨ</c:v>
                </c:pt>
              </c:strCache>
            </c:strRef>
          </c:cat>
          <c:val>
            <c:numRef>
              <c:f>'C1-Bảng biểu, biểu đồ,nhận xét'!$D$38:$D$52</c:f>
              <c:numCache>
                <c:formatCode>0.00%</c:formatCode>
                <c:ptCount val="14"/>
                <c:pt idx="0">
                  <c:v>4.035013768252953</c:v>
                </c:pt>
                <c:pt idx="1">
                  <c:v>1.3599605413838738</c:v>
                </c:pt>
                <c:pt idx="2">
                  <c:v>1.2541670772177604</c:v>
                </c:pt>
                <c:pt idx="3">
                  <c:v>1.218573135648811</c:v>
                </c:pt>
                <c:pt idx="4">
                  <c:v>1.1945660682761703</c:v>
                </c:pt>
                <c:pt idx="5">
                  <c:v>1.1444564903116796</c:v>
                </c:pt>
              </c:numCache>
            </c:numRef>
          </c:val>
          <c:extLst>
            <c:ext xmlns:c16="http://schemas.microsoft.com/office/drawing/2014/chart" uri="{C3380CC4-5D6E-409C-BE32-E72D297353CC}">
              <c16:uniqueId val="{00000001-B9C6-48FE-8A5C-72E80B996116}"/>
            </c:ext>
          </c:extLst>
        </c:ser>
        <c:ser>
          <c:idx val="2"/>
          <c:order val="2"/>
          <c:tx>
            <c:strRef>
              <c:f>'C1-Bảng biểu, biểu đồ,nhận xét'!$E$37</c:f>
              <c:strCache>
                <c:ptCount val="1"/>
                <c:pt idx="0">
                  <c:v>Đạt</c:v>
                </c:pt>
              </c:strCache>
            </c:strRef>
          </c:tx>
          <c:spPr>
            <a:solidFill>
              <a:srgbClr val="FFFF00">
                <a:alpha val="81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xét'!$B$38:$B$52</c:f>
              <c:strCache>
                <c:ptCount val="14"/>
                <c:pt idx="0">
                  <c:v>ASUS CŨ</c:v>
                </c:pt>
                <c:pt idx="1">
                  <c:v>NOKIA CŨ</c:v>
                </c:pt>
                <c:pt idx="2">
                  <c:v>REALME CŨ</c:v>
                </c:pt>
                <c:pt idx="3">
                  <c:v>APPLE WATCH CŨ</c:v>
                </c:pt>
                <c:pt idx="4">
                  <c:v>HONOR CŨ</c:v>
                </c:pt>
                <c:pt idx="5">
                  <c:v>VSMART CŨ</c:v>
                </c:pt>
                <c:pt idx="6">
                  <c:v>KHÁC CŨ</c:v>
                </c:pt>
                <c:pt idx="7">
                  <c:v>IPHONE CŨ</c:v>
                </c:pt>
                <c:pt idx="8">
                  <c:v>HUAWEI CŨ</c:v>
                </c:pt>
                <c:pt idx="9">
                  <c:v>SAMSUNG CŨ</c:v>
                </c:pt>
                <c:pt idx="10">
                  <c:v>OPPO CŨ</c:v>
                </c:pt>
                <c:pt idx="11">
                  <c:v>XIAOMI CŨ</c:v>
                </c:pt>
                <c:pt idx="12">
                  <c:v>IPAD CŨ</c:v>
                </c:pt>
                <c:pt idx="13">
                  <c:v>MACBOOK CŨ</c:v>
                </c:pt>
              </c:strCache>
            </c:strRef>
          </c:cat>
          <c:val>
            <c:numRef>
              <c:f>'C1-Bảng biểu, biểu đồ,nhận xét'!$E$38:$E$52</c:f>
              <c:numCache>
                <c:formatCode>0.00%</c:formatCode>
                <c:ptCount val="14"/>
                <c:pt idx="6">
                  <c:v>1.0148056743232696</c:v>
                </c:pt>
              </c:numCache>
            </c:numRef>
          </c:val>
          <c:extLst>
            <c:ext xmlns:c16="http://schemas.microsoft.com/office/drawing/2014/chart" uri="{C3380CC4-5D6E-409C-BE32-E72D297353CC}">
              <c16:uniqueId val="{00000002-B9C6-48FE-8A5C-72E80B996116}"/>
            </c:ext>
          </c:extLst>
        </c:ser>
        <c:ser>
          <c:idx val="3"/>
          <c:order val="3"/>
          <c:tx>
            <c:strRef>
              <c:f>'C1-Bảng biểu, biểu đồ,nhận xét'!$F$37</c:f>
              <c:strCache>
                <c:ptCount val="1"/>
                <c:pt idx="0">
                  <c:v>Không Đạt</c:v>
                </c:pt>
              </c:strCache>
            </c:strRef>
          </c:tx>
          <c:spPr>
            <a:solidFill>
              <a:srgbClr val="FF0000">
                <a:alpha val="46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'C1-Bảng biểu, biểu đồ,nhận xét'!$B$38:$B$52</c:f>
              <c:strCache>
                <c:ptCount val="14"/>
                <c:pt idx="0">
                  <c:v>ASUS CŨ</c:v>
                </c:pt>
                <c:pt idx="1">
                  <c:v>NOKIA CŨ</c:v>
                </c:pt>
                <c:pt idx="2">
                  <c:v>REALME CŨ</c:v>
                </c:pt>
                <c:pt idx="3">
                  <c:v>APPLE WATCH CŨ</c:v>
                </c:pt>
                <c:pt idx="4">
                  <c:v>HONOR CŨ</c:v>
                </c:pt>
                <c:pt idx="5">
                  <c:v>VSMART CŨ</c:v>
                </c:pt>
                <c:pt idx="6">
                  <c:v>KHÁC CŨ</c:v>
                </c:pt>
                <c:pt idx="7">
                  <c:v>IPHONE CŨ</c:v>
                </c:pt>
                <c:pt idx="8">
                  <c:v>HUAWEI CŨ</c:v>
                </c:pt>
                <c:pt idx="9">
                  <c:v>SAMSUNG CŨ</c:v>
                </c:pt>
                <c:pt idx="10">
                  <c:v>OPPO CŨ</c:v>
                </c:pt>
                <c:pt idx="11">
                  <c:v>XIAOMI CŨ</c:v>
                </c:pt>
                <c:pt idx="12">
                  <c:v>IPAD CŨ</c:v>
                </c:pt>
                <c:pt idx="13">
                  <c:v>MACBOOK CŨ</c:v>
                </c:pt>
              </c:strCache>
            </c:strRef>
          </c:cat>
          <c:val>
            <c:numRef>
              <c:f>'C1-Bảng biểu, biểu đồ,nhận xét'!$F$38:$F$52</c:f>
              <c:numCache>
                <c:formatCode>0.00%</c:formatCode>
                <c:ptCount val="14"/>
                <c:pt idx="7">
                  <c:v>0.9377475336729949</c:v>
                </c:pt>
                <c:pt idx="8">
                  <c:v>0.93431059755010415</c:v>
                </c:pt>
                <c:pt idx="9">
                  <c:v>0.86853299247738125</c:v>
                </c:pt>
                <c:pt idx="10">
                  <c:v>0.83170373966659228</c:v>
                </c:pt>
                <c:pt idx="11">
                  <c:v>0.82551167952980131</c:v>
                </c:pt>
                <c:pt idx="12">
                  <c:v>0.79598930323321115</c:v>
                </c:pt>
                <c:pt idx="13">
                  <c:v>0.64303712869319551</c:v>
                </c:pt>
              </c:numCache>
            </c:numRef>
          </c:val>
          <c:extLst>
            <c:ext xmlns:c16="http://schemas.microsoft.com/office/drawing/2014/chart" uri="{C3380CC4-5D6E-409C-BE32-E72D297353CC}">
              <c16:uniqueId val="{00000003-B9C6-48FE-8A5C-72E80B996116}"/>
            </c:ext>
          </c:extLst>
        </c:ser>
        <c:dLbls>
          <c:dLblPos val="outEnd"/>
          <c:showLegendKey val="0"/>
          <c:showVal val="1"/>
          <c:showCatName val="0"/>
          <c:showSerName val="0"/>
          <c:showPercent val="0"/>
          <c:showBubbleSize val="0"/>
        </c:dLbls>
        <c:gapWidth val="34"/>
        <c:overlap val="100"/>
        <c:axId val="909428543"/>
        <c:axId val="909430943"/>
      </c:barChart>
      <c:catAx>
        <c:axId val="90942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Ngành</a:t>
                </a:r>
                <a:r>
                  <a:rPr lang="en-US" b="1" baseline="0"/>
                  <a:t> hàng</a:t>
                </a:r>
                <a:endParaRPr lang="en-US" b="1"/>
              </a:p>
            </c:rich>
          </c:tx>
          <c:layout>
            <c:manualLayout>
              <c:xMode val="edge"/>
              <c:yMode val="edge"/>
              <c:x val="0.46299042465813856"/>
              <c:y val="0.941536370111613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30943"/>
        <c:crosses val="autoZero"/>
        <c:auto val="1"/>
        <c:lblAlgn val="ctr"/>
        <c:lblOffset val="100"/>
        <c:noMultiLvlLbl val="0"/>
      </c:catAx>
      <c:valAx>
        <c:axId val="909430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Tỉ</a:t>
                </a:r>
                <a:r>
                  <a:rPr lang="en-US" b="1" baseline="0"/>
                  <a:t> lệ</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28543"/>
        <c:crosses val="autoZero"/>
        <c:crossBetween val="between"/>
      </c:valAx>
      <c:spPr>
        <a:noFill/>
        <a:ln w="12700">
          <a:solidFill>
            <a:schemeClr val="tx1"/>
          </a:solidFill>
        </a:ln>
        <a:effectLst/>
      </c:spPr>
    </c:plotArea>
    <c:legend>
      <c:legendPos val="r"/>
      <c:legendEntry>
        <c:idx val="0"/>
        <c:delete val="1"/>
      </c:legendEntry>
      <c:layout>
        <c:manualLayout>
          <c:xMode val="edge"/>
          <c:yMode val="edge"/>
          <c:x val="0.80459735940032362"/>
          <c:y val="0.1499137688515968"/>
          <c:w val="9.1457053791879142E-2"/>
          <c:h val="0.147503138578076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Hợp.xlsx]C1-Bảng biểu, biểu đồ,nhận xét!PivotTable5</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Tỉ lệ đạt theo quản lý ngành (PIC) </a:t>
            </a:r>
          </a:p>
        </c:rich>
      </c:tx>
      <c:overlay val="0"/>
      <c:spPr>
        <a:noFill/>
        <a:ln>
          <a:solidFill>
            <a:schemeClr val="tx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alpha val="8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4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alpha val="8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alpha val="4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alpha val="81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alpha val="46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2559055118109"/>
          <c:y val="0.14393518518518519"/>
          <c:w val="0.77458114610673667"/>
          <c:h val="0.7060495042286381"/>
        </c:manualLayout>
      </c:layout>
      <c:barChart>
        <c:barDir val="col"/>
        <c:grouping val="clustered"/>
        <c:varyColors val="0"/>
        <c:ser>
          <c:idx val="0"/>
          <c:order val="0"/>
          <c:tx>
            <c:strRef>
              <c:f>'C1-Bảng biểu, biểu đồ,nhận xét'!$C$60</c:f>
              <c:strCache>
                <c:ptCount val="1"/>
                <c:pt idx="0">
                  <c:v>% Đạt Target</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xét'!$B$61:$B$65</c:f>
              <c:strCache>
                <c:ptCount val="4"/>
                <c:pt idx="0">
                  <c:v>MINH</c:v>
                </c:pt>
                <c:pt idx="1">
                  <c:v>LAN</c:v>
                </c:pt>
                <c:pt idx="2">
                  <c:v>NAM</c:v>
                </c:pt>
                <c:pt idx="3">
                  <c:v>SANG</c:v>
                </c:pt>
              </c:strCache>
            </c:strRef>
          </c:cat>
          <c:val>
            <c:numRef>
              <c:f>'C1-Bảng biểu, biểu đồ,nhận xét'!$C$61:$C$65</c:f>
              <c:numCache>
                <c:formatCode>General</c:formatCode>
                <c:ptCount val="4"/>
                <c:pt idx="0">
                  <c:v>1.4567089327501417</c:v>
                </c:pt>
                <c:pt idx="1">
                  <c:v>1.0796175841202962</c:v>
                </c:pt>
                <c:pt idx="2">
                  <c:v>0.93067940614939704</c:v>
                </c:pt>
                <c:pt idx="3">
                  <c:v>0.877365573000503</c:v>
                </c:pt>
              </c:numCache>
            </c:numRef>
          </c:val>
          <c:extLst>
            <c:ext xmlns:c16="http://schemas.microsoft.com/office/drawing/2014/chart" uri="{C3380CC4-5D6E-409C-BE32-E72D297353CC}">
              <c16:uniqueId val="{00000000-C1D8-4058-82B7-971043790E9F}"/>
            </c:ext>
          </c:extLst>
        </c:ser>
        <c:ser>
          <c:idx val="1"/>
          <c:order val="1"/>
          <c:tx>
            <c:strRef>
              <c:f>'C1-Bảng biểu, biểu đồ,nhận xét'!$D$60</c:f>
              <c:strCache>
                <c:ptCount val="1"/>
                <c:pt idx="0">
                  <c:v>Vượt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xét'!$B$61:$B$65</c:f>
              <c:strCache>
                <c:ptCount val="4"/>
                <c:pt idx="0">
                  <c:v>MINH</c:v>
                </c:pt>
                <c:pt idx="1">
                  <c:v>LAN</c:v>
                </c:pt>
                <c:pt idx="2">
                  <c:v>NAM</c:v>
                </c:pt>
                <c:pt idx="3">
                  <c:v>SANG</c:v>
                </c:pt>
              </c:strCache>
            </c:strRef>
          </c:cat>
          <c:val>
            <c:numRef>
              <c:f>'C1-Bảng biểu, biểu đồ,nhận xét'!$D$61:$D$65</c:f>
              <c:numCache>
                <c:formatCode>0.00%</c:formatCode>
                <c:ptCount val="4"/>
                <c:pt idx="0">
                  <c:v>1.4567089327501417</c:v>
                </c:pt>
              </c:numCache>
            </c:numRef>
          </c:val>
          <c:extLst>
            <c:ext xmlns:c16="http://schemas.microsoft.com/office/drawing/2014/chart" uri="{C3380CC4-5D6E-409C-BE32-E72D297353CC}">
              <c16:uniqueId val="{00000001-C1D8-4058-82B7-971043790E9F}"/>
            </c:ext>
          </c:extLst>
        </c:ser>
        <c:ser>
          <c:idx val="2"/>
          <c:order val="2"/>
          <c:tx>
            <c:strRef>
              <c:f>'C1-Bảng biểu, biểu đồ,nhận xét'!$E$60</c:f>
              <c:strCache>
                <c:ptCount val="1"/>
                <c:pt idx="0">
                  <c:v>Đạt</c:v>
                </c:pt>
              </c:strCache>
            </c:strRef>
          </c:tx>
          <c:spPr>
            <a:solidFill>
              <a:srgbClr val="FFFF00">
                <a:alpha val="81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xét'!$B$61:$B$65</c:f>
              <c:strCache>
                <c:ptCount val="4"/>
                <c:pt idx="0">
                  <c:v>MINH</c:v>
                </c:pt>
                <c:pt idx="1">
                  <c:v>LAN</c:v>
                </c:pt>
                <c:pt idx="2">
                  <c:v>NAM</c:v>
                </c:pt>
                <c:pt idx="3">
                  <c:v>SANG</c:v>
                </c:pt>
              </c:strCache>
            </c:strRef>
          </c:cat>
          <c:val>
            <c:numRef>
              <c:f>'C1-Bảng biểu, biểu đồ,nhận xét'!$E$61:$E$65</c:f>
              <c:numCache>
                <c:formatCode>0.00%</c:formatCode>
                <c:ptCount val="4"/>
                <c:pt idx="1">
                  <c:v>1.0796175841202962</c:v>
                </c:pt>
              </c:numCache>
            </c:numRef>
          </c:val>
          <c:extLst>
            <c:ext xmlns:c16="http://schemas.microsoft.com/office/drawing/2014/chart" uri="{C3380CC4-5D6E-409C-BE32-E72D297353CC}">
              <c16:uniqueId val="{00000002-C1D8-4058-82B7-971043790E9F}"/>
            </c:ext>
          </c:extLst>
        </c:ser>
        <c:ser>
          <c:idx val="3"/>
          <c:order val="3"/>
          <c:tx>
            <c:strRef>
              <c:f>'C1-Bảng biểu, biểu đồ,nhận xét'!$F$60</c:f>
              <c:strCache>
                <c:ptCount val="1"/>
                <c:pt idx="0">
                  <c:v>Không Đạt</c:v>
                </c:pt>
              </c:strCache>
            </c:strRef>
          </c:tx>
          <c:spPr>
            <a:solidFill>
              <a:srgbClr val="FF0000">
                <a:alpha val="46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'C1-Bảng biểu, biểu đồ,nhận xét'!$B$61:$B$65</c:f>
              <c:strCache>
                <c:ptCount val="4"/>
                <c:pt idx="0">
                  <c:v>MINH</c:v>
                </c:pt>
                <c:pt idx="1">
                  <c:v>LAN</c:v>
                </c:pt>
                <c:pt idx="2">
                  <c:v>NAM</c:v>
                </c:pt>
                <c:pt idx="3">
                  <c:v>SANG</c:v>
                </c:pt>
              </c:strCache>
            </c:strRef>
          </c:cat>
          <c:val>
            <c:numRef>
              <c:f>'C1-Bảng biểu, biểu đồ,nhận xét'!$F$61:$F$65</c:f>
              <c:numCache>
                <c:formatCode>0.00%</c:formatCode>
                <c:ptCount val="4"/>
                <c:pt idx="2">
                  <c:v>0.93067940614939704</c:v>
                </c:pt>
                <c:pt idx="3">
                  <c:v>0.877365573000503</c:v>
                </c:pt>
              </c:numCache>
            </c:numRef>
          </c:val>
          <c:extLst>
            <c:ext xmlns:c16="http://schemas.microsoft.com/office/drawing/2014/chart" uri="{C3380CC4-5D6E-409C-BE32-E72D297353CC}">
              <c16:uniqueId val="{00000003-C1D8-4058-82B7-971043790E9F}"/>
            </c:ext>
          </c:extLst>
        </c:ser>
        <c:dLbls>
          <c:dLblPos val="outEnd"/>
          <c:showLegendKey val="0"/>
          <c:showVal val="1"/>
          <c:showCatName val="0"/>
          <c:showSerName val="0"/>
          <c:showPercent val="0"/>
          <c:showBubbleSize val="0"/>
        </c:dLbls>
        <c:gapWidth val="179"/>
        <c:overlap val="100"/>
        <c:axId val="937617167"/>
        <c:axId val="937613807"/>
      </c:barChart>
      <c:catAx>
        <c:axId val="9376171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Quản lý (PIC)</a:t>
                </a:r>
              </a:p>
            </c:rich>
          </c:tx>
          <c:layout>
            <c:manualLayout>
              <c:xMode val="edge"/>
              <c:yMode val="edge"/>
              <c:x val="0.43738484530793426"/>
              <c:y val="0.922028540969195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7613807"/>
        <c:crosses val="autoZero"/>
        <c:auto val="1"/>
        <c:lblAlgn val="ctr"/>
        <c:lblOffset val="100"/>
        <c:noMultiLvlLbl val="0"/>
      </c:catAx>
      <c:valAx>
        <c:axId val="9376138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Tỉ lệ</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7617167"/>
        <c:crosses val="autoZero"/>
        <c:crossBetween val="between"/>
      </c:valAx>
      <c:spPr>
        <a:noFill/>
        <a:ln>
          <a:solidFill>
            <a:schemeClr val="tx1"/>
          </a:solidFill>
        </a:ln>
        <a:effectLst/>
      </c:spPr>
    </c:plotArea>
    <c:legend>
      <c:legendPos val="r"/>
      <c:legendEntry>
        <c:idx val="0"/>
        <c:delete val="1"/>
      </c:legendEntry>
      <c:layout>
        <c:manualLayout>
          <c:xMode val="edge"/>
          <c:yMode val="edge"/>
          <c:x val="0.77505118110236215"/>
          <c:y val="0.15153834937299501"/>
          <c:w val="0.14994881889763781"/>
          <c:h val="0.174191455234762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 C2-Bảng,chart,NX-ĐX!PivotTable11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Tồn</a:t>
            </a:r>
            <a:r>
              <a:rPr lang="en-US" b="1" baseline="0"/>
              <a:t> kho tháng 7 theo danh mục (12/7)</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6024562054532E-2"/>
          <c:y val="0.16372011975698672"/>
          <c:w val="0.82931019879276469"/>
          <c:h val="0.69424925067795806"/>
        </c:manualLayout>
      </c:layout>
      <c:barChart>
        <c:barDir val="col"/>
        <c:grouping val="clustered"/>
        <c:varyColors val="0"/>
        <c:ser>
          <c:idx val="0"/>
          <c:order val="0"/>
          <c:tx>
            <c:strRef>
              <c:f>' C2-Bảng,chart,NX-ĐX'!$I$8</c:f>
              <c:strCache>
                <c:ptCount val="1"/>
                <c:pt idx="0">
                  <c:v>Tổng Tồn</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C2-Bảng,chart,NX-ĐX'!$H$9:$H$22</c:f>
              <c:strCache>
                <c:ptCount val="13"/>
                <c:pt idx="0">
                  <c:v>IPAD CŨ</c:v>
                </c:pt>
                <c:pt idx="1">
                  <c:v>SAMSUNG CŨ</c:v>
                </c:pt>
                <c:pt idx="2">
                  <c:v>MACBOOK CŨ</c:v>
                </c:pt>
                <c:pt idx="3">
                  <c:v>APPLE WATCH CŨ</c:v>
                </c:pt>
                <c:pt idx="4">
                  <c:v>NOKIA CŨ</c:v>
                </c:pt>
                <c:pt idx="5">
                  <c:v>OPPO CŨ</c:v>
                </c:pt>
                <c:pt idx="6">
                  <c:v>XIAOMI CŨ</c:v>
                </c:pt>
                <c:pt idx="7">
                  <c:v>REALME CŨ</c:v>
                </c:pt>
                <c:pt idx="8">
                  <c:v>VSMART CŨ</c:v>
                </c:pt>
                <c:pt idx="9">
                  <c:v>HUAWEI CŨ</c:v>
                </c:pt>
                <c:pt idx="10">
                  <c:v>HONOR CŨ</c:v>
                </c:pt>
                <c:pt idx="11">
                  <c:v>ASUS CŨ</c:v>
                </c:pt>
                <c:pt idx="12">
                  <c:v>KHÁC CŨ</c:v>
                </c:pt>
              </c:strCache>
            </c:strRef>
          </c:cat>
          <c:val>
            <c:numRef>
              <c:f>' C2-Bảng,chart,NX-ĐX'!$I$9:$I$22</c:f>
              <c:numCache>
                <c:formatCode>_(* #,##0_);_(* \(#,##0\);_(* "-"??_);_(@_)</c:formatCode>
                <c:ptCount val="13"/>
                <c:pt idx="0">
                  <c:v>147</c:v>
                </c:pt>
                <c:pt idx="1">
                  <c:v>147</c:v>
                </c:pt>
                <c:pt idx="2">
                  <c:v>95</c:v>
                </c:pt>
                <c:pt idx="3">
                  <c:v>92</c:v>
                </c:pt>
                <c:pt idx="4">
                  <c:v>82</c:v>
                </c:pt>
                <c:pt idx="5">
                  <c:v>44</c:v>
                </c:pt>
                <c:pt idx="6">
                  <c:v>42</c:v>
                </c:pt>
                <c:pt idx="7">
                  <c:v>41</c:v>
                </c:pt>
                <c:pt idx="8">
                  <c:v>38</c:v>
                </c:pt>
                <c:pt idx="9">
                  <c:v>22</c:v>
                </c:pt>
                <c:pt idx="10">
                  <c:v>8</c:v>
                </c:pt>
                <c:pt idx="11">
                  <c:v>7</c:v>
                </c:pt>
                <c:pt idx="12">
                  <c:v>6</c:v>
                </c:pt>
              </c:numCache>
            </c:numRef>
          </c:val>
          <c:extLst>
            <c:ext xmlns:c16="http://schemas.microsoft.com/office/drawing/2014/chart" uri="{C3380CC4-5D6E-409C-BE32-E72D297353CC}">
              <c16:uniqueId val="{00000000-B5FA-4EAF-862F-EBB90BF1076F}"/>
            </c:ext>
          </c:extLst>
        </c:ser>
        <c:ser>
          <c:idx val="1"/>
          <c:order val="1"/>
          <c:tx>
            <c:strRef>
              <c:f>' C2-Bảng,chart,NX-ĐX'!$J$8</c:f>
              <c:strCache>
                <c:ptCount val="1"/>
                <c:pt idx="0">
                  <c:v>Dự báo tồn cuối tháng</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C2-Bảng,chart,NX-ĐX'!$H$9:$H$22</c:f>
              <c:strCache>
                <c:ptCount val="13"/>
                <c:pt idx="0">
                  <c:v>IPAD CŨ</c:v>
                </c:pt>
                <c:pt idx="1">
                  <c:v>SAMSUNG CŨ</c:v>
                </c:pt>
                <c:pt idx="2">
                  <c:v>MACBOOK CŨ</c:v>
                </c:pt>
                <c:pt idx="3">
                  <c:v>APPLE WATCH CŨ</c:v>
                </c:pt>
                <c:pt idx="4">
                  <c:v>NOKIA CŨ</c:v>
                </c:pt>
                <c:pt idx="5">
                  <c:v>OPPO CŨ</c:v>
                </c:pt>
                <c:pt idx="6">
                  <c:v>XIAOMI CŨ</c:v>
                </c:pt>
                <c:pt idx="7">
                  <c:v>REALME CŨ</c:v>
                </c:pt>
                <c:pt idx="8">
                  <c:v>VSMART CŨ</c:v>
                </c:pt>
                <c:pt idx="9">
                  <c:v>HUAWEI CŨ</c:v>
                </c:pt>
                <c:pt idx="10">
                  <c:v>HONOR CŨ</c:v>
                </c:pt>
                <c:pt idx="11">
                  <c:v>ASUS CŨ</c:v>
                </c:pt>
                <c:pt idx="12">
                  <c:v>KHÁC CŨ</c:v>
                </c:pt>
              </c:strCache>
            </c:strRef>
          </c:cat>
          <c:val>
            <c:numRef>
              <c:f>' C2-Bảng,chart,NX-ĐX'!$J$9:$J$22</c:f>
              <c:numCache>
                <c:formatCode>0</c:formatCode>
                <c:ptCount val="13"/>
                <c:pt idx="0">
                  <c:v>-32.142857142857139</c:v>
                </c:pt>
                <c:pt idx="1">
                  <c:v>-140.71428571428572</c:v>
                </c:pt>
                <c:pt idx="2">
                  <c:v>81.428571428571431</c:v>
                </c:pt>
                <c:pt idx="3">
                  <c:v>45.857142857142861</c:v>
                </c:pt>
                <c:pt idx="4">
                  <c:v>-13</c:v>
                </c:pt>
                <c:pt idx="5">
                  <c:v>3.2857142857142847</c:v>
                </c:pt>
                <c:pt idx="6">
                  <c:v>-66.571428571428569</c:v>
                </c:pt>
                <c:pt idx="7">
                  <c:v>5.7142857142857153</c:v>
                </c:pt>
                <c:pt idx="8">
                  <c:v>-67.857142857142847</c:v>
                </c:pt>
                <c:pt idx="9">
                  <c:v>0.28571428571428825</c:v>
                </c:pt>
                <c:pt idx="10">
                  <c:v>8</c:v>
                </c:pt>
                <c:pt idx="11">
                  <c:v>-1.1428571428571423</c:v>
                </c:pt>
                <c:pt idx="12">
                  <c:v>6</c:v>
                </c:pt>
              </c:numCache>
            </c:numRef>
          </c:val>
          <c:extLst>
            <c:ext xmlns:c16="http://schemas.microsoft.com/office/drawing/2014/chart" uri="{C3380CC4-5D6E-409C-BE32-E72D297353CC}">
              <c16:uniqueId val="{00000001-B5FA-4EAF-862F-EBB90BF1076F}"/>
            </c:ext>
          </c:extLst>
        </c:ser>
        <c:dLbls>
          <c:dLblPos val="outEnd"/>
          <c:showLegendKey val="0"/>
          <c:showVal val="1"/>
          <c:showCatName val="0"/>
          <c:showSerName val="0"/>
          <c:showPercent val="0"/>
          <c:showBubbleSize val="0"/>
        </c:dLbls>
        <c:gapWidth val="28"/>
        <c:overlap val="-28"/>
        <c:axId val="1056865743"/>
        <c:axId val="1056865263"/>
      </c:barChart>
      <c:catAx>
        <c:axId val="1056865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Danh</a:t>
                </a:r>
                <a:r>
                  <a:rPr lang="en-US" b="1" baseline="0"/>
                  <a:t> mục</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rgbClr val="92D05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65263"/>
        <c:crossesAt val="0"/>
        <c:auto val="1"/>
        <c:lblAlgn val="ctr"/>
        <c:lblOffset val="100"/>
        <c:noMultiLvlLbl val="0"/>
      </c:catAx>
      <c:valAx>
        <c:axId val="1056865263"/>
        <c:scaling>
          <c:orientation val="minMax"/>
          <c:max val="160"/>
          <c:min val="-15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Số</a:t>
                </a:r>
                <a:r>
                  <a:rPr lang="en-US" baseline="0"/>
                  <a:t> lượng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65743"/>
        <c:crosses val="autoZero"/>
        <c:crossBetween val="between"/>
      </c:valAx>
      <c:spPr>
        <a:noFill/>
        <a:ln>
          <a:noFill/>
        </a:ln>
        <a:effectLst/>
      </c:spPr>
    </c:plotArea>
    <c:legend>
      <c:legendPos val="r"/>
      <c:layout>
        <c:manualLayout>
          <c:xMode val="edge"/>
          <c:yMode val="edge"/>
          <c:x val="0.77726188130835128"/>
          <c:y val="1.924704819083747E-2"/>
          <c:w val="0.22157104206990028"/>
          <c:h val="0.13391178254427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 C2-Bảng,chart,NX-ĐX!PivotTable12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Tồn kho tháng 7 theo danh mục (12/7)</a:t>
            </a:r>
          </a:p>
          <a:p>
            <a:pPr>
              <a:defRPr/>
            </a:pPr>
            <a:r>
              <a:rPr lang="en-US" sz="1200" b="1" i="0" u="none" strike="noStrike" kern="1200" spc="0" baseline="0">
                <a:solidFill>
                  <a:sysClr val="windowText" lastClr="000000">
                    <a:lumMod val="65000"/>
                    <a:lumOff val="35000"/>
                  </a:sysClr>
                </a:solidFill>
              </a:rPr>
              <a:t>(Bổ sung)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C2-Bảng,chart,NX-ĐX'!$I$35</c:f>
              <c:strCache>
                <c:ptCount val="1"/>
                <c:pt idx="0">
                  <c:v>Tổng Tồn</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C2-Bảng,chart,NX-ĐX'!$H$36:$H$37</c:f>
              <c:strCache>
                <c:ptCount val="1"/>
                <c:pt idx="0">
                  <c:v>IPHONE CŨ</c:v>
                </c:pt>
              </c:strCache>
            </c:strRef>
          </c:cat>
          <c:val>
            <c:numRef>
              <c:f>' C2-Bảng,chart,NX-ĐX'!$I$36:$I$37</c:f>
              <c:numCache>
                <c:formatCode>_(* #,##0_);_(* \(#,##0\);_(* "-"??_);_(@_)</c:formatCode>
                <c:ptCount val="1"/>
                <c:pt idx="0">
                  <c:v>2651</c:v>
                </c:pt>
              </c:numCache>
            </c:numRef>
          </c:val>
          <c:extLst>
            <c:ext xmlns:c16="http://schemas.microsoft.com/office/drawing/2014/chart" uri="{C3380CC4-5D6E-409C-BE32-E72D297353CC}">
              <c16:uniqueId val="{00000000-3C5A-47C5-8C51-34E26105C710}"/>
            </c:ext>
          </c:extLst>
        </c:ser>
        <c:ser>
          <c:idx val="1"/>
          <c:order val="1"/>
          <c:tx>
            <c:strRef>
              <c:f>' C2-Bảng,chart,NX-ĐX'!$J$35</c:f>
              <c:strCache>
                <c:ptCount val="1"/>
                <c:pt idx="0">
                  <c:v>Dự báo tồn cuối tháng</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C2-Bảng,chart,NX-ĐX'!$H$36:$H$37</c:f>
              <c:strCache>
                <c:ptCount val="1"/>
                <c:pt idx="0">
                  <c:v>IPHONE CŨ</c:v>
                </c:pt>
              </c:strCache>
            </c:strRef>
          </c:cat>
          <c:val>
            <c:numRef>
              <c:f>' C2-Bảng,chart,NX-ĐX'!$J$36:$J$37</c:f>
              <c:numCache>
                <c:formatCode>0</c:formatCode>
                <c:ptCount val="1"/>
                <c:pt idx="0">
                  <c:v>474.14285714285734</c:v>
                </c:pt>
              </c:numCache>
            </c:numRef>
          </c:val>
          <c:extLst>
            <c:ext xmlns:c16="http://schemas.microsoft.com/office/drawing/2014/chart" uri="{C3380CC4-5D6E-409C-BE32-E72D297353CC}">
              <c16:uniqueId val="{00000001-3C5A-47C5-8C51-34E26105C710}"/>
            </c:ext>
          </c:extLst>
        </c:ser>
        <c:dLbls>
          <c:showLegendKey val="0"/>
          <c:showVal val="0"/>
          <c:showCatName val="0"/>
          <c:showSerName val="0"/>
          <c:showPercent val="0"/>
          <c:showBubbleSize val="0"/>
        </c:dLbls>
        <c:gapWidth val="219"/>
        <c:overlap val="-27"/>
        <c:axId val="947275311"/>
        <c:axId val="947275791"/>
      </c:barChart>
      <c:catAx>
        <c:axId val="947275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Danh</a:t>
                </a:r>
                <a:r>
                  <a:rPr lang="en-US" b="1" baseline="0"/>
                  <a:t> mục</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75791"/>
        <c:crosses val="autoZero"/>
        <c:auto val="1"/>
        <c:lblAlgn val="ctr"/>
        <c:lblOffset val="100"/>
        <c:noMultiLvlLbl val="0"/>
      </c:catAx>
      <c:valAx>
        <c:axId val="9472757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Số</a:t>
                </a:r>
                <a:r>
                  <a:rPr lang="en-US" b="1" baseline="0"/>
                  <a:t> lượng</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27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 C2-Bảng,chart,NX-ĐX!PivotTable13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sản phẩm có số</a:t>
            </a:r>
            <a:r>
              <a:rPr lang="en-US" sz="1600" b="1" baseline="0"/>
              <a:t> lượng</a:t>
            </a:r>
            <a:r>
              <a:rPr lang="en-US" sz="1600" b="1"/>
              <a:t> tồn kho cao nhất</a:t>
            </a:r>
            <a:endParaRPr lang="en-US" sz="1600"/>
          </a:p>
        </c:rich>
      </c:tx>
      <c:overlay val="0"/>
      <c:spPr>
        <a:noFill/>
        <a:ln>
          <a:solidFill>
            <a:schemeClr val="accent1">
              <a:shade val="1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s>
    <c:plotArea>
      <c:layout>
        <c:manualLayout>
          <c:layoutTarget val="inner"/>
          <c:xMode val="edge"/>
          <c:yMode val="edge"/>
          <c:x val="7.3801322934533106E-2"/>
          <c:y val="8.3744255593156111E-2"/>
          <c:w val="0.86504954371550458"/>
          <c:h val="0.77695712069307199"/>
        </c:manualLayout>
      </c:layout>
      <c:barChart>
        <c:barDir val="col"/>
        <c:grouping val="clustered"/>
        <c:varyColors val="0"/>
        <c:ser>
          <c:idx val="0"/>
          <c:order val="0"/>
          <c:tx>
            <c:strRef>
              <c:f>' C2-Bảng,chart,NX-ĐX'!$I$62</c:f>
              <c:strCache>
                <c:ptCount val="1"/>
                <c:pt idx="0">
                  <c:v>Tổng Tồn</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C2-Bảng,chart,NX-ĐX'!$H$63:$H$73</c:f>
              <c:strCache>
                <c:ptCount val="10"/>
                <c:pt idx="0">
                  <c:v>APPLE IPHONE XS MAX 64GB CŨ</c:v>
                </c:pt>
                <c:pt idx="1">
                  <c:v>APPLE IPHONE XR 64GB CŨ</c:v>
                </c:pt>
                <c:pt idx="2">
                  <c:v>APPLE IPHONE 8 64GB VÀNG CŨ - ĐẸP</c:v>
                </c:pt>
                <c:pt idx="3">
                  <c:v>APPLE IPHONE 6S 32GB VÀNG - ĐỔI BẢO HÀNH</c:v>
                </c:pt>
                <c:pt idx="4">
                  <c:v>APPLE IPHONE 6S 32GB XÁM - ĐỔI BẢO HÀNH</c:v>
                </c:pt>
                <c:pt idx="5">
                  <c:v>APPLE IPHONE XS 64GB CŨ</c:v>
                </c:pt>
                <c:pt idx="6">
                  <c:v>APPLE IPHONE 6S 32GB HỒNG - ĐỔI BẢO HÀNH</c:v>
                </c:pt>
                <c:pt idx="7">
                  <c:v>APPLE IPHONE X 256GB</c:v>
                </c:pt>
                <c:pt idx="8">
                  <c:v>APPLE IPHONE 8 64GB VÀNG - ĐỔI BẢO HÀNH</c:v>
                </c:pt>
                <c:pt idx="9">
                  <c:v>APPLE IPHONE 6S 32GB</c:v>
                </c:pt>
              </c:strCache>
            </c:strRef>
          </c:cat>
          <c:val>
            <c:numRef>
              <c:f>' C2-Bảng,chart,NX-ĐX'!$I$63:$I$73</c:f>
              <c:numCache>
                <c:formatCode>0</c:formatCode>
                <c:ptCount val="10"/>
                <c:pt idx="0">
                  <c:v>162</c:v>
                </c:pt>
                <c:pt idx="1">
                  <c:v>108</c:v>
                </c:pt>
                <c:pt idx="2">
                  <c:v>101</c:v>
                </c:pt>
                <c:pt idx="3">
                  <c:v>101</c:v>
                </c:pt>
                <c:pt idx="4">
                  <c:v>98</c:v>
                </c:pt>
                <c:pt idx="5">
                  <c:v>90</c:v>
                </c:pt>
                <c:pt idx="6">
                  <c:v>84</c:v>
                </c:pt>
                <c:pt idx="7">
                  <c:v>83</c:v>
                </c:pt>
                <c:pt idx="8">
                  <c:v>69</c:v>
                </c:pt>
                <c:pt idx="9">
                  <c:v>60</c:v>
                </c:pt>
              </c:numCache>
            </c:numRef>
          </c:val>
          <c:extLst>
            <c:ext xmlns:c16="http://schemas.microsoft.com/office/drawing/2014/chart" uri="{C3380CC4-5D6E-409C-BE32-E72D297353CC}">
              <c16:uniqueId val="{00000000-66D8-4161-B449-B5148610A25C}"/>
            </c:ext>
          </c:extLst>
        </c:ser>
        <c:ser>
          <c:idx val="1"/>
          <c:order val="1"/>
          <c:tx>
            <c:strRef>
              <c:f>' C2-Bảng,chart,NX-ĐX'!$J$62</c:f>
              <c:strCache>
                <c:ptCount val="1"/>
                <c:pt idx="0">
                  <c:v>Dự báo tồn cuối tháng</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C2-Bảng,chart,NX-ĐX'!$H$63:$H$73</c:f>
              <c:strCache>
                <c:ptCount val="10"/>
                <c:pt idx="0">
                  <c:v>APPLE IPHONE XS MAX 64GB CŨ</c:v>
                </c:pt>
                <c:pt idx="1">
                  <c:v>APPLE IPHONE XR 64GB CŨ</c:v>
                </c:pt>
                <c:pt idx="2">
                  <c:v>APPLE IPHONE 8 64GB VÀNG CŨ - ĐẸP</c:v>
                </c:pt>
                <c:pt idx="3">
                  <c:v>APPLE IPHONE 6S 32GB VÀNG - ĐỔI BẢO HÀNH</c:v>
                </c:pt>
                <c:pt idx="4">
                  <c:v>APPLE IPHONE 6S 32GB XÁM - ĐỔI BẢO HÀNH</c:v>
                </c:pt>
                <c:pt idx="5">
                  <c:v>APPLE IPHONE XS 64GB CŨ</c:v>
                </c:pt>
                <c:pt idx="6">
                  <c:v>APPLE IPHONE 6S 32GB HỒNG - ĐỔI BẢO HÀNH</c:v>
                </c:pt>
                <c:pt idx="7">
                  <c:v>APPLE IPHONE X 256GB</c:v>
                </c:pt>
                <c:pt idx="8">
                  <c:v>APPLE IPHONE 8 64GB VÀNG - ĐỔI BẢO HÀNH</c:v>
                </c:pt>
                <c:pt idx="9">
                  <c:v>APPLE IPHONE 6S 32GB</c:v>
                </c:pt>
              </c:strCache>
            </c:strRef>
          </c:cat>
          <c:val>
            <c:numRef>
              <c:f>' C2-Bảng,chart,NX-ĐX'!$J$63:$J$73</c:f>
              <c:numCache>
                <c:formatCode>_(* #,##0_);_(* \(#,##0\);_(* "-"??_);_(@_)</c:formatCode>
                <c:ptCount val="10"/>
                <c:pt idx="0">
                  <c:v>-114.85714285714283</c:v>
                </c:pt>
                <c:pt idx="1">
                  <c:v>56.428571428571423</c:v>
                </c:pt>
                <c:pt idx="2">
                  <c:v>6</c:v>
                </c:pt>
                <c:pt idx="3">
                  <c:v>79.285714285714292</c:v>
                </c:pt>
                <c:pt idx="4">
                  <c:v>65.428571428571431</c:v>
                </c:pt>
                <c:pt idx="5">
                  <c:v>-24</c:v>
                </c:pt>
                <c:pt idx="6">
                  <c:v>40.571428571428577</c:v>
                </c:pt>
                <c:pt idx="7">
                  <c:v>61.285714285714292</c:v>
                </c:pt>
                <c:pt idx="8">
                  <c:v>47.285714285714292</c:v>
                </c:pt>
                <c:pt idx="9">
                  <c:v>43.714285714285715</c:v>
                </c:pt>
              </c:numCache>
            </c:numRef>
          </c:val>
          <c:extLst>
            <c:ext xmlns:c16="http://schemas.microsoft.com/office/drawing/2014/chart" uri="{C3380CC4-5D6E-409C-BE32-E72D297353CC}">
              <c16:uniqueId val="{00000001-66D8-4161-B449-B5148610A25C}"/>
            </c:ext>
          </c:extLst>
        </c:ser>
        <c:dLbls>
          <c:dLblPos val="outEnd"/>
          <c:showLegendKey val="0"/>
          <c:showVal val="1"/>
          <c:showCatName val="0"/>
          <c:showSerName val="0"/>
          <c:showPercent val="0"/>
          <c:showBubbleSize val="0"/>
        </c:dLbls>
        <c:gapWidth val="219"/>
        <c:overlap val="-27"/>
        <c:axId val="1614239183"/>
        <c:axId val="1989532495"/>
      </c:barChart>
      <c:catAx>
        <c:axId val="161423918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Sản</a:t>
                </a:r>
                <a:r>
                  <a:rPr lang="en-US" sz="1050" b="1" baseline="0"/>
                  <a:t> phảm</a:t>
                </a:r>
                <a:endParaRPr lang="en-US" sz="1050" b="1"/>
              </a:p>
            </c:rich>
          </c:tx>
          <c:layout>
            <c:manualLayout>
              <c:xMode val="edge"/>
              <c:yMode val="edge"/>
              <c:x val="0.47365630663671954"/>
              <c:y val="0.9519641361401153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32495"/>
        <c:crosses val="autoZero"/>
        <c:auto val="1"/>
        <c:lblAlgn val="ctr"/>
        <c:lblOffset val="100"/>
        <c:noMultiLvlLbl val="0"/>
      </c:catAx>
      <c:valAx>
        <c:axId val="1989532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Số</a:t>
                </a:r>
                <a:r>
                  <a:rPr lang="en-US" sz="1100" b="1" baseline="0"/>
                  <a:t> lượng</a:t>
                </a:r>
                <a:endParaRPr lang="en-US" sz="11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14239183"/>
        <c:crosses val="autoZero"/>
        <c:crossBetween val="between"/>
      </c:valAx>
      <c:spPr>
        <a:noFill/>
        <a:ln>
          <a:noFill/>
        </a:ln>
        <a:effectLst/>
      </c:spPr>
    </c:plotArea>
    <c:legend>
      <c:legendPos val="r"/>
      <c:layout>
        <c:manualLayout>
          <c:xMode val="edge"/>
          <c:yMode val="edge"/>
          <c:x val="0.85825388657574986"/>
          <c:y val="7.0065238746821315E-2"/>
          <c:w val="0.11610688421862714"/>
          <c:h val="8.0940556198648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 C2-Bảng,chart,NX-ĐX!PivotTable15</c:name>
    <c:fmtId val="5"/>
  </c:pivotSource>
  <c:chart>
    <c:title>
      <c:tx>
        <c:rich>
          <a:bodyPr rot="0" spcFirstLastPara="1" vertOverflow="ellipsis" vert="horz" wrap="square" anchor="ctr" anchorCtr="1"/>
          <a:lstStyle/>
          <a:p>
            <a:pPr algn="ctr" rtl="0">
              <a:defRPr lang="vi-VN" sz="1600" b="1" i="0" u="none" strike="noStrike" kern="1200" spc="0" baseline="0">
                <a:solidFill>
                  <a:sysClr val="windowText" lastClr="000000">
                    <a:lumMod val="65000"/>
                    <a:lumOff val="35000"/>
                  </a:sysClr>
                </a:solidFill>
                <a:latin typeface="+mn-lt"/>
                <a:ea typeface="+mn-ea"/>
                <a:cs typeface="+mn-cs"/>
              </a:defRPr>
            </a:pPr>
            <a:r>
              <a:rPr lang="vi-VN" sz="1600" b="1" i="0" u="none" strike="noStrike" kern="1200" spc="0" baseline="0">
                <a:solidFill>
                  <a:sysClr val="windowText" lastClr="000000">
                    <a:lumMod val="65000"/>
                    <a:lumOff val="35000"/>
                  </a:sysClr>
                </a:solidFill>
                <a:latin typeface="+mn-lt"/>
                <a:ea typeface="+mn-ea"/>
                <a:cs typeface="+mn-cs"/>
              </a:rPr>
              <a:t>Top 10 sản phẩm có nguy cơ thiếu hàng đến cuối tháng 7 </a:t>
            </a:r>
          </a:p>
        </c:rich>
      </c:tx>
      <c:overlay val="0"/>
      <c:spPr>
        <a:noFill/>
        <a:ln>
          <a:noFill/>
        </a:ln>
        <a:effectLst/>
      </c:spPr>
      <c:txPr>
        <a:bodyPr rot="0" spcFirstLastPara="1" vertOverflow="ellipsis" vert="horz" wrap="square" anchor="ctr" anchorCtr="1"/>
        <a:lstStyle/>
        <a:p>
          <a:pPr algn="ctr" rtl="0">
            <a:defRPr lang="vi-V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C2-Bảng,chart,NX-ĐX'!$I$93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C2-Bảng,chart,NX-ĐX'!$H$94:$H$104</c:f>
              <c:strCache>
                <c:ptCount val="10"/>
                <c:pt idx="0">
                  <c:v>APPLE IPHONE XS MAX 64GB CŨ</c:v>
                </c:pt>
                <c:pt idx="1">
                  <c:v>APPLE IPHONE 7 PLUS 128GB CŨ</c:v>
                </c:pt>
                <c:pt idx="2">
                  <c:v>APPLE IPHONE 7 PLUS 32GB HỒNG CŨ - ĐẸP</c:v>
                </c:pt>
                <c:pt idx="3">
                  <c:v>SAMSUNG GALAXY A80</c:v>
                </c:pt>
                <c:pt idx="4">
                  <c:v>APPLE IPHONE XS 64GB CŨ</c:v>
                </c:pt>
                <c:pt idx="5">
                  <c:v>APPLE IPHONE X 64GB BẠC - ĐỔI BẢO HÀNH</c:v>
                </c:pt>
                <c:pt idx="6">
                  <c:v>APPLE IPHONE SE 32GB BẠC CŨ - ĐẸP</c:v>
                </c:pt>
                <c:pt idx="7">
                  <c:v>IPHONE 11 PRO MAX 64GB CŨ</c:v>
                </c:pt>
                <c:pt idx="8">
                  <c:v>APPLE IPHONE 7 PLUS 32GB ĐEN CŨ - ĐẸP</c:v>
                </c:pt>
                <c:pt idx="9">
                  <c:v>SAMSUNG GALAXY S20+ (PLUS)</c:v>
                </c:pt>
              </c:strCache>
            </c:strRef>
          </c:cat>
          <c:val>
            <c:numRef>
              <c:f>' C2-Bảng,chart,NX-ĐX'!$I$94:$I$104</c:f>
              <c:numCache>
                <c:formatCode>_(* #,##0_);_(* \(#,##0\);_(* "-"??_);_(@_)</c:formatCode>
                <c:ptCount val="10"/>
                <c:pt idx="0">
                  <c:v>-114.85714285714283</c:v>
                </c:pt>
                <c:pt idx="1">
                  <c:v>-43.285714285714285</c:v>
                </c:pt>
                <c:pt idx="2">
                  <c:v>-33.714285714285715</c:v>
                </c:pt>
                <c:pt idx="3">
                  <c:v>-25.857142857142858</c:v>
                </c:pt>
                <c:pt idx="4">
                  <c:v>-24</c:v>
                </c:pt>
                <c:pt idx="5">
                  <c:v>-22.571428571428569</c:v>
                </c:pt>
                <c:pt idx="6">
                  <c:v>-20.714285714285712</c:v>
                </c:pt>
                <c:pt idx="7">
                  <c:v>-18.571428571428569</c:v>
                </c:pt>
                <c:pt idx="8">
                  <c:v>-18.428571428571431</c:v>
                </c:pt>
                <c:pt idx="9">
                  <c:v>-18.428571428571431</c:v>
                </c:pt>
              </c:numCache>
            </c:numRef>
          </c:val>
          <c:extLst>
            <c:ext xmlns:c16="http://schemas.microsoft.com/office/drawing/2014/chart" uri="{C3380CC4-5D6E-409C-BE32-E72D297353CC}">
              <c16:uniqueId val="{00000000-B624-4B83-8104-1FE94DA9F29E}"/>
            </c:ext>
          </c:extLst>
        </c:ser>
        <c:dLbls>
          <c:dLblPos val="outEnd"/>
          <c:showLegendKey val="0"/>
          <c:showVal val="1"/>
          <c:showCatName val="0"/>
          <c:showSerName val="0"/>
          <c:showPercent val="0"/>
          <c:showBubbleSize val="0"/>
        </c:dLbls>
        <c:gapWidth val="219"/>
        <c:overlap val="-27"/>
        <c:axId val="854097295"/>
        <c:axId val="854093935"/>
      </c:barChart>
      <c:catAx>
        <c:axId val="854097295"/>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Sản</a:t>
                </a:r>
                <a:r>
                  <a:rPr lang="en-US" b="1" baseline="0"/>
                  <a:t> phẩm</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93935"/>
        <c:crosses val="autoZero"/>
        <c:auto val="1"/>
        <c:lblAlgn val="ctr"/>
        <c:lblOffset val="100"/>
        <c:noMultiLvlLbl val="0"/>
      </c:catAx>
      <c:valAx>
        <c:axId val="854093935"/>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Số</a:t>
                </a:r>
                <a:r>
                  <a:rPr lang="en-US" b="1" baseline="0"/>
                  <a:t> lượng</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5409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BI - Phạm Quang Hợp.xlsx] C2-Bảng,chart,NX-ĐX!PivotTable16</c:name>
    <c:fmtId val="5"/>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Top 10 sản phẩm có tốc độ bán/ngày cao nhất theo danh mục</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26398388447107E-2"/>
          <c:y val="0.11057998957215555"/>
          <c:w val="0.89844915266577774"/>
          <c:h val="0.69153464206459114"/>
        </c:manualLayout>
      </c:layout>
      <c:barChart>
        <c:barDir val="col"/>
        <c:grouping val="clustered"/>
        <c:varyColors val="0"/>
        <c:ser>
          <c:idx val="0"/>
          <c:order val="0"/>
          <c:tx>
            <c:strRef>
              <c:f>' C2-Bảng,chart,NX-ĐX'!$I$116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C2-Bảng,chart,NX-ĐX'!$H$117:$H$127</c:f>
              <c:strCache>
                <c:ptCount val="10"/>
                <c:pt idx="0">
                  <c:v>APPLE IPHONE XS MAX 64GB CŨ</c:v>
                </c:pt>
                <c:pt idx="1">
                  <c:v>APPLE IPHONE XS 64GB CŨ</c:v>
                </c:pt>
                <c:pt idx="2">
                  <c:v>APPLE IPHONE 8 64GB VÀNG CŨ - ĐẸP</c:v>
                </c:pt>
                <c:pt idx="3">
                  <c:v>IPHONE 11 128GB CŨ</c:v>
                </c:pt>
                <c:pt idx="4">
                  <c:v>APPLE IPHONE 7 PLUS 128GB CŨ</c:v>
                </c:pt>
                <c:pt idx="5">
                  <c:v>APPLE IPHONE XR 64GB CŨ</c:v>
                </c:pt>
                <c:pt idx="6">
                  <c:v>APPLE IPHONE XS MAX 256GB CŨ</c:v>
                </c:pt>
                <c:pt idx="7">
                  <c:v>APPLE IPHONE 7 32GB ĐEN CŨ - ĐẸP</c:v>
                </c:pt>
                <c:pt idx="8">
                  <c:v>APPLE IPAD 10.2 2019 WI-FI 32GB CHÍNH HÃNG</c:v>
                </c:pt>
                <c:pt idx="9">
                  <c:v>APPLE IPHONE 6S 32GB HỒNG - ĐỔI BẢO HÀNH</c:v>
                </c:pt>
              </c:strCache>
            </c:strRef>
          </c:cat>
          <c:val>
            <c:numRef>
              <c:f>' C2-Bảng,chart,NX-ĐX'!$I$117:$I$127</c:f>
              <c:numCache>
                <c:formatCode>0.00</c:formatCode>
                <c:ptCount val="10"/>
                <c:pt idx="0">
                  <c:v>14.571428571428571</c:v>
                </c:pt>
                <c:pt idx="1">
                  <c:v>6</c:v>
                </c:pt>
                <c:pt idx="2">
                  <c:v>5</c:v>
                </c:pt>
                <c:pt idx="3">
                  <c:v>3</c:v>
                </c:pt>
                <c:pt idx="4">
                  <c:v>2.8571428571428572</c:v>
                </c:pt>
                <c:pt idx="5">
                  <c:v>2.7142857142857144</c:v>
                </c:pt>
                <c:pt idx="6">
                  <c:v>2.5714285714285716</c:v>
                </c:pt>
                <c:pt idx="7">
                  <c:v>2.4285714285714284</c:v>
                </c:pt>
                <c:pt idx="8">
                  <c:v>2.2857142857142856</c:v>
                </c:pt>
                <c:pt idx="9">
                  <c:v>2.2857142857142856</c:v>
                </c:pt>
              </c:numCache>
            </c:numRef>
          </c:val>
          <c:extLst>
            <c:ext xmlns:c16="http://schemas.microsoft.com/office/drawing/2014/chart" uri="{C3380CC4-5D6E-409C-BE32-E72D297353CC}">
              <c16:uniqueId val="{00000000-CB11-4764-A0B1-28F25C403AA6}"/>
            </c:ext>
          </c:extLst>
        </c:ser>
        <c:dLbls>
          <c:dLblPos val="outEnd"/>
          <c:showLegendKey val="0"/>
          <c:showVal val="1"/>
          <c:showCatName val="0"/>
          <c:showSerName val="0"/>
          <c:showPercent val="0"/>
          <c:showBubbleSize val="0"/>
        </c:dLbls>
        <c:gapWidth val="219"/>
        <c:overlap val="-27"/>
        <c:axId val="1989535375"/>
        <c:axId val="1989534415"/>
      </c:barChart>
      <c:catAx>
        <c:axId val="1989535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Sản</a:t>
                </a:r>
                <a:r>
                  <a:rPr lang="en-US" b="1" baseline="0"/>
                  <a:t> phẩm</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34415"/>
        <c:crosses val="autoZero"/>
        <c:auto val="1"/>
        <c:lblAlgn val="ctr"/>
        <c:lblOffset val="100"/>
        <c:noMultiLvlLbl val="0"/>
      </c:catAx>
      <c:valAx>
        <c:axId val="1989534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Số</a:t>
                </a:r>
                <a:r>
                  <a:rPr lang="en-US" baseline="0"/>
                  <a:t> lượng/ngày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8953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53340</xdr:colOff>
      <xdr:row>80</xdr:row>
      <xdr:rowOff>60960</xdr:rowOff>
    </xdr:from>
    <xdr:to>
      <xdr:col>7</xdr:col>
      <xdr:colOff>144780</xdr:colOff>
      <xdr:row>104</xdr:row>
      <xdr:rowOff>114300</xdr:rowOff>
    </xdr:to>
    <xdr:sp macro="" textlink="">
      <xdr:nvSpPr>
        <xdr:cNvPr id="7" name="Rectangle 6">
          <a:extLst>
            <a:ext uri="{FF2B5EF4-FFF2-40B4-BE49-F238E27FC236}">
              <a16:creationId xmlns:a16="http://schemas.microsoft.com/office/drawing/2014/main" id="{8055CE44-C124-C99A-2E9E-3923AC08B88E}"/>
            </a:ext>
          </a:extLst>
        </xdr:cNvPr>
        <xdr:cNvSpPr/>
      </xdr:nvSpPr>
      <xdr:spPr>
        <a:xfrm>
          <a:off x="53340" y="19994880"/>
          <a:ext cx="6438900" cy="444246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b="1">
              <a:solidFill>
                <a:schemeClr val="tx1"/>
              </a:solidFill>
            </a:rPr>
            <a:t>ĐÁNH GIÁ KẾT QUẢ KINH DOANH QUÝ 2 (Bản Cập Nhật)</a:t>
          </a:r>
        </a:p>
        <a:p>
          <a:r>
            <a:rPr lang="vi-VN" b="1">
              <a:solidFill>
                <a:schemeClr val="tx1"/>
              </a:solidFill>
            </a:rPr>
            <a:t>1. Tổng quan doanh số</a:t>
          </a:r>
          <a:endParaRPr lang="vi-VN">
            <a:solidFill>
              <a:schemeClr val="tx1"/>
            </a:solidFill>
          </a:endParaRPr>
        </a:p>
        <a:p>
          <a:r>
            <a:rPr lang="vi-VN">
              <a:solidFill>
                <a:schemeClr val="tx1"/>
              </a:solidFill>
            </a:rPr>
            <a:t>Tổng doanh số Quý 2 đạt </a:t>
          </a:r>
          <a:r>
            <a:rPr lang="vi-VN" b="1">
              <a:solidFill>
                <a:schemeClr val="tx1"/>
              </a:solidFill>
            </a:rPr>
            <a:t>121,5 tỷ VNĐ</a:t>
          </a:r>
          <a:r>
            <a:rPr lang="vi-VN">
              <a:solidFill>
                <a:schemeClr val="tx1"/>
              </a:solidFill>
            </a:rPr>
            <a:t>, hoàn thành </a:t>
          </a:r>
          <a:r>
            <a:rPr lang="vi-VN" b="1">
              <a:solidFill>
                <a:schemeClr val="tx1"/>
              </a:solidFill>
            </a:rPr>
            <a:t>93,22%</a:t>
          </a:r>
          <a:r>
            <a:rPr lang="vi-VN">
              <a:solidFill>
                <a:schemeClr val="tx1"/>
              </a:solidFill>
            </a:rPr>
            <a:t> mục tiêu đề ra (Target: 130,3 tỷ VNĐ).</a:t>
          </a:r>
        </a:p>
        <a:p>
          <a:r>
            <a:rPr lang="vi-VN" b="1">
              <a:solidFill>
                <a:schemeClr val="tx1"/>
              </a:solidFill>
            </a:rPr>
            <a:t>Biến động theo thời gian:</a:t>
          </a:r>
          <a:r>
            <a:rPr lang="vi-VN">
              <a:solidFill>
                <a:schemeClr val="tx1"/>
              </a:solidFill>
            </a:rPr>
            <a:t> Tỷ lệ hoàn thành mục tiêu chạm đáy vào tháng 5 (81,13%) nhưng đã ghi nhận sự phục hồi mạnh mẽ và vượt kế hoạch vào tháng 6 (101,51%).</a:t>
          </a:r>
        </a:p>
        <a:p>
          <a:r>
            <a:rPr lang="vi-VN" b="1">
              <a:solidFill>
                <a:schemeClr val="tx1"/>
              </a:solidFill>
            </a:rPr>
            <a:t>2. Phân tích theo nhân sự quản lý (PIC)</a:t>
          </a:r>
          <a:endParaRPr lang="vi-VN">
            <a:solidFill>
              <a:schemeClr val="tx1"/>
            </a:solidFill>
          </a:endParaRPr>
        </a:p>
        <a:p>
          <a:r>
            <a:rPr lang="vi-VN" b="1">
              <a:solidFill>
                <a:schemeClr val="tx1"/>
              </a:solidFill>
            </a:rPr>
            <a:t>Trọng tâm doanh thu:</a:t>
          </a:r>
          <a:r>
            <a:rPr lang="vi-VN">
              <a:solidFill>
                <a:schemeClr val="tx1"/>
              </a:solidFill>
            </a:rPr>
            <a:t> Nam là nhân sự quản lý nguồn thu cốt lõi, mang về 107,6 tỷ VNĐ (chiếm 88,5% tổng doanh số). Tỷ lệ hoàn thành 93,07% của Nam tác động trực tiếp đến kết quả chung của toàn công ty.</a:t>
          </a:r>
        </a:p>
        <a:p>
          <a:r>
            <a:rPr lang="vi-VN" b="1">
              <a:solidFill>
                <a:schemeClr val="tx1"/>
              </a:solidFill>
            </a:rPr>
            <a:t>Nhóm vượt chỉ tiêu:</a:t>
          </a:r>
          <a:r>
            <a:rPr lang="vi-VN">
              <a:solidFill>
                <a:schemeClr val="tx1"/>
              </a:solidFill>
            </a:rPr>
            <a:t> Minh (145,67%) và Lan (107,96%) hoàn thành xuất sắc mục tiêu, tuy nhiên quy mô doanh số quản lý còn nhỏ.</a:t>
          </a:r>
        </a:p>
        <a:p>
          <a:r>
            <a:rPr lang="vi-VN" b="1">
              <a:solidFill>
                <a:schemeClr val="tx1"/>
              </a:solidFill>
            </a:rPr>
            <a:t>Nhóm cần cải thiện:</a:t>
          </a:r>
          <a:r>
            <a:rPr lang="vi-VN">
              <a:solidFill>
                <a:schemeClr val="tx1"/>
              </a:solidFill>
            </a:rPr>
            <a:t> Sang có tỷ lệ hoàn thành thấp nhất, đạt 87,74%.</a:t>
          </a:r>
        </a:p>
        <a:p>
          <a:r>
            <a:rPr lang="vi-VN" b="1">
              <a:solidFill>
                <a:schemeClr val="tx1"/>
              </a:solidFill>
            </a:rPr>
            <a:t>3. Phân tích theo ngành hàng (Sản phẩm)</a:t>
          </a:r>
          <a:endParaRPr lang="vi-VN">
            <a:solidFill>
              <a:schemeClr val="tx1"/>
            </a:solidFill>
          </a:endParaRPr>
        </a:p>
        <a:p>
          <a:r>
            <a:rPr lang="vi-VN" b="1">
              <a:solidFill>
                <a:schemeClr val="tx1"/>
              </a:solidFill>
            </a:rPr>
            <a:t>Sản phẩm Trụ cột:</a:t>
          </a:r>
          <a:r>
            <a:rPr lang="vi-VN">
              <a:solidFill>
                <a:schemeClr val="tx1"/>
              </a:solidFill>
            </a:rPr>
            <a:t> </a:t>
          </a:r>
          <a:r>
            <a:rPr lang="vi-VN" b="1">
              <a:solidFill>
                <a:schemeClr val="tx1"/>
              </a:solidFill>
            </a:rPr>
            <a:t>iPhone Cũ</a:t>
          </a:r>
          <a:r>
            <a:rPr lang="vi-VN">
              <a:solidFill>
                <a:schemeClr val="tx1"/>
              </a:solidFill>
            </a:rPr>
            <a:t> là mặt hàng đóng góp lớn nhất với doanh thu </a:t>
          </a:r>
          <a:r>
            <a:rPr lang="vi-VN" b="1">
              <a:solidFill>
                <a:schemeClr val="tx1"/>
              </a:solidFill>
            </a:rPr>
            <a:t>99,4 tỷ VNĐ (chiếm ~82% tổng doanh thu toàn công ty)</a:t>
          </a:r>
          <a:r>
            <a:rPr lang="vi-VN">
              <a:solidFill>
                <a:schemeClr val="tx1"/>
              </a:solidFill>
            </a:rPr>
            <a:t>. Với quy mô target khổng lồ (106 tỷ), tỷ lệ hoàn thành 93,77% của mặt hàng này mang tính quyết định đến toàn bộ cục diện kinh doanh của quý.</a:t>
          </a:r>
        </a:p>
        <a:p>
          <a:r>
            <a:rPr lang="vi-VN" b="1">
              <a:solidFill>
                <a:schemeClr val="tx1"/>
              </a:solidFill>
            </a:rPr>
            <a:t>Sản phẩm Đột phá:</a:t>
          </a:r>
          <a:r>
            <a:rPr lang="vi-VN">
              <a:solidFill>
                <a:schemeClr val="tx1"/>
              </a:solidFill>
            </a:rPr>
            <a:t> ASUS Cũ ghi nhận mức vượt chỉ tiêu cao nhất (403,50%), tiếp theo là Apple Watch Cũ (121,86%).</a:t>
          </a:r>
        </a:p>
        <a:p>
          <a:r>
            <a:rPr lang="vi-VN" b="1">
              <a:solidFill>
                <a:schemeClr val="tx1"/>
              </a:solidFill>
            </a:rPr>
            <a:t>Sản phẩm Tồn đọng:</a:t>
          </a:r>
          <a:r>
            <a:rPr lang="vi-VN">
              <a:solidFill>
                <a:schemeClr val="tx1"/>
              </a:solidFill>
            </a:rPr>
            <a:t> Các dòng máy mang lại giá trị cao khác như Macbook Cũ (64,30%) và iPad Cũ (79,60%) đang có tỷ lệ hoàn thành thấp nhất, kéo lùi tốc độ tăng trưởng chung.</a:t>
          </a:r>
        </a:p>
        <a:p>
          <a:r>
            <a:rPr lang="vi-VN" b="1">
              <a:solidFill>
                <a:schemeClr val="tx1"/>
              </a:solidFill>
            </a:rPr>
            <a:t>4. Đề xuất trọng điểm</a:t>
          </a:r>
          <a:endParaRPr lang="vi-VN">
            <a:solidFill>
              <a:schemeClr val="tx1"/>
            </a:solidFill>
          </a:endParaRPr>
        </a:p>
        <a:p>
          <a:r>
            <a:rPr lang="vi-VN">
              <a:solidFill>
                <a:schemeClr val="tx1"/>
              </a:solidFill>
            </a:rPr>
            <a:t>Ưu tiên tối đa nguồn lực (Marketing, Chính sách giá, Khuyến mãi) để thúc đẩy doanh số nhóm </a:t>
          </a:r>
          <a:r>
            <a:rPr lang="vi-VN" b="1">
              <a:solidFill>
                <a:schemeClr val="tx1"/>
              </a:solidFill>
            </a:rPr>
            <a:t>iPhone Cũ</a:t>
          </a:r>
          <a:r>
            <a:rPr lang="vi-VN">
              <a:solidFill>
                <a:schemeClr val="tx1"/>
              </a:solidFill>
            </a:rPr>
            <a:t>. Chỉ cần mặt hàng chủ lực này tăng trưởng thêm 5-6% là đủ sức bù đắp thiếu hụt và kéo toàn công ty vượt mục tiêu.</a:t>
          </a:r>
        </a:p>
        <a:p>
          <a:r>
            <a:rPr lang="vi-VN">
              <a:solidFill>
                <a:schemeClr val="tx1"/>
              </a:solidFill>
            </a:rPr>
            <a:t>Đánh giá lại nguyên nhân sụt giảm mạnh ở phân khúc Macbook Cũ và iPad Cũ để có phương án xả kho hoặc điều chỉnh target cho quý kế tiếp.</a:t>
          </a:r>
        </a:p>
        <a:p>
          <a:pPr algn="l"/>
          <a:endParaRPr 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208600</xdr:colOff>
      <xdr:row>0</xdr:row>
      <xdr:rowOff>149572</xdr:rowOff>
    </xdr:from>
    <xdr:to>
      <xdr:col>17</xdr:col>
      <xdr:colOff>173768</xdr:colOff>
      <xdr:row>5</xdr:row>
      <xdr:rowOff>161638</xdr:rowOff>
    </xdr:to>
    <xdr:grpSp>
      <xdr:nvGrpSpPr>
        <xdr:cNvPr id="19" name="Group 18">
          <a:extLst>
            <a:ext uri="{FF2B5EF4-FFF2-40B4-BE49-F238E27FC236}">
              <a16:creationId xmlns:a16="http://schemas.microsoft.com/office/drawing/2014/main" id="{6B0F5271-C1F0-9DDB-85FA-7ADE1CAD0D4A}"/>
            </a:ext>
          </a:extLst>
        </xdr:cNvPr>
        <xdr:cNvGrpSpPr/>
      </xdr:nvGrpSpPr>
      <xdr:grpSpPr>
        <a:xfrm>
          <a:off x="208600" y="149572"/>
          <a:ext cx="12157168" cy="938823"/>
          <a:chOff x="219197" y="149571"/>
          <a:chExt cx="10949218" cy="1295601"/>
        </a:xfrm>
      </xdr:grpSpPr>
      <xdr:grpSp>
        <xdr:nvGrpSpPr>
          <xdr:cNvPr id="7" name="Group 6">
            <a:extLst>
              <a:ext uri="{FF2B5EF4-FFF2-40B4-BE49-F238E27FC236}">
                <a16:creationId xmlns:a16="http://schemas.microsoft.com/office/drawing/2014/main" id="{CB2EBBCD-67A8-3BAF-29DC-F3B497CE6842}"/>
              </a:ext>
            </a:extLst>
          </xdr:cNvPr>
          <xdr:cNvGrpSpPr/>
        </xdr:nvGrpSpPr>
        <xdr:grpSpPr>
          <a:xfrm>
            <a:off x="219197" y="672055"/>
            <a:ext cx="10949208" cy="773117"/>
            <a:chOff x="254000" y="420077"/>
            <a:chExt cx="5988286" cy="937846"/>
          </a:xfrm>
          <a:solidFill>
            <a:schemeClr val="bg1">
              <a:lumMod val="95000"/>
            </a:schemeClr>
          </a:solidFill>
        </xdr:grpSpPr>
        <xdr:sp macro="" textlink="'C1-Bảng biểu, biểu đồ,nhận xét'!$B$76">
          <xdr:nvSpPr>
            <xdr:cNvPr id="4" name="Rectangle 3">
              <a:extLst>
                <a:ext uri="{FF2B5EF4-FFF2-40B4-BE49-F238E27FC236}">
                  <a16:creationId xmlns:a16="http://schemas.microsoft.com/office/drawing/2014/main" id="{5DC33355-5EE5-7190-A4BB-8D1D134CA10A}"/>
                </a:ext>
              </a:extLst>
            </xdr:cNvPr>
            <xdr:cNvSpPr/>
          </xdr:nvSpPr>
          <xdr:spPr>
            <a:xfrm>
              <a:off x="254000" y="420077"/>
              <a:ext cx="1803810" cy="93784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63309C-1218-4B01-B016-0FF35124EC57}" type="TxLink">
                <a:rPr lang="en-US" sz="1600" b="1" i="0" u="none" strike="noStrike">
                  <a:solidFill>
                    <a:schemeClr val="accent6">
                      <a:lumMod val="75000"/>
                    </a:schemeClr>
                  </a:solidFill>
                  <a:latin typeface="Calibri"/>
                  <a:ea typeface="Calibri"/>
                  <a:cs typeface="Calibri"/>
                </a:rPr>
                <a:pPr algn="ctr"/>
                <a:t>121,510,384,000 ₫</a:t>
              </a:fld>
              <a:endParaRPr lang="en-US" sz="1600" b="1">
                <a:solidFill>
                  <a:schemeClr val="accent6">
                    <a:lumMod val="75000"/>
                  </a:schemeClr>
                </a:solidFill>
              </a:endParaRPr>
            </a:p>
          </xdr:txBody>
        </xdr:sp>
        <xdr:sp macro="" textlink="'C1-Bảng biểu, biểu đồ,nhận xét'!$C$76">
          <xdr:nvSpPr>
            <xdr:cNvPr id="5" name="Rectangle 4">
              <a:extLst>
                <a:ext uri="{FF2B5EF4-FFF2-40B4-BE49-F238E27FC236}">
                  <a16:creationId xmlns:a16="http://schemas.microsoft.com/office/drawing/2014/main" id="{BFB227C1-A169-2C1E-31FA-E63F8E72D3D9}"/>
                </a:ext>
              </a:extLst>
            </xdr:cNvPr>
            <xdr:cNvSpPr/>
          </xdr:nvSpPr>
          <xdr:spPr>
            <a:xfrm>
              <a:off x="2358638" y="420077"/>
              <a:ext cx="1802925" cy="93784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1C4DA54-F6F1-4B20-8965-6EDA386BA097}" type="TxLink">
                <a:rPr lang="en-US" sz="1600" b="1" i="0" u="none" strike="noStrike">
                  <a:solidFill>
                    <a:schemeClr val="accent4">
                      <a:lumMod val="75000"/>
                    </a:schemeClr>
                  </a:solidFill>
                  <a:latin typeface="Calibri"/>
                  <a:ea typeface="Calibri"/>
                  <a:cs typeface="Calibri"/>
                </a:rPr>
                <a:pPr marL="0" indent="0" algn="ctr"/>
                <a:t>130,345,043,950 ₫</a:t>
              </a:fld>
              <a:endParaRPr lang="en-US" sz="1600" b="1" i="0" u="none" strike="noStrike">
                <a:solidFill>
                  <a:schemeClr val="accent4">
                    <a:lumMod val="75000"/>
                  </a:schemeClr>
                </a:solidFill>
                <a:latin typeface="Calibri"/>
                <a:ea typeface="Calibri"/>
                <a:cs typeface="Calibri"/>
              </a:endParaRPr>
            </a:p>
          </xdr:txBody>
        </xdr:sp>
        <xdr:sp macro="" textlink="'C1-Bảng biểu, biểu đồ,nhận xét'!$D$76">
          <xdr:nvSpPr>
            <xdr:cNvPr id="6" name="Rectangle 5">
              <a:extLst>
                <a:ext uri="{FF2B5EF4-FFF2-40B4-BE49-F238E27FC236}">
                  <a16:creationId xmlns:a16="http://schemas.microsoft.com/office/drawing/2014/main" id="{17519E8B-95D8-825B-D1BE-7D9DD48C0F05}"/>
                </a:ext>
              </a:extLst>
            </xdr:cNvPr>
            <xdr:cNvSpPr/>
          </xdr:nvSpPr>
          <xdr:spPr>
            <a:xfrm>
              <a:off x="4439361" y="420077"/>
              <a:ext cx="1802925" cy="93784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BC83CF1-031F-4D68-BD87-7CEA444E86F1}" type="TxLink">
                <a:rPr lang="en-US" sz="1600" b="1" i="0" u="none" strike="noStrike">
                  <a:solidFill>
                    <a:srgbClr val="000000"/>
                  </a:solidFill>
                  <a:latin typeface="Calibri"/>
                  <a:ea typeface="Calibri"/>
                  <a:cs typeface="Calibri"/>
                </a:rPr>
                <a:pPr marL="0" indent="0" algn="ctr"/>
                <a:t>93.22%</a:t>
              </a:fld>
              <a:endParaRPr lang="en-US" sz="1600" b="1" i="0" u="none" strike="noStrike">
                <a:solidFill>
                  <a:srgbClr val="000000"/>
                </a:solidFill>
                <a:latin typeface="Calibri"/>
                <a:ea typeface="Calibri"/>
                <a:cs typeface="Calibri"/>
              </a:endParaRPr>
            </a:p>
          </xdr:txBody>
        </xdr:sp>
      </xdr:grpSp>
      <xdr:grpSp>
        <xdr:nvGrpSpPr>
          <xdr:cNvPr id="9" name="Group 8">
            <a:extLst>
              <a:ext uri="{FF2B5EF4-FFF2-40B4-BE49-F238E27FC236}">
                <a16:creationId xmlns:a16="http://schemas.microsoft.com/office/drawing/2014/main" id="{A6556C1E-9A21-83EE-0569-7903288078B3}"/>
              </a:ext>
            </a:extLst>
          </xdr:cNvPr>
          <xdr:cNvGrpSpPr/>
        </xdr:nvGrpSpPr>
        <xdr:grpSpPr>
          <a:xfrm>
            <a:off x="219197" y="149571"/>
            <a:ext cx="10949218" cy="532254"/>
            <a:chOff x="254000" y="420077"/>
            <a:chExt cx="5988291" cy="937846"/>
          </a:xfrm>
          <a:solidFill>
            <a:schemeClr val="bg1">
              <a:lumMod val="95000"/>
            </a:schemeClr>
          </a:solidFill>
        </xdr:grpSpPr>
        <xdr:sp macro="" textlink="">
          <xdr:nvSpPr>
            <xdr:cNvPr id="10" name="Rectangle 9">
              <a:extLst>
                <a:ext uri="{FF2B5EF4-FFF2-40B4-BE49-F238E27FC236}">
                  <a16:creationId xmlns:a16="http://schemas.microsoft.com/office/drawing/2014/main" id="{D8F2444C-8090-9B44-D395-4BF7AECE2AAC}"/>
                </a:ext>
              </a:extLst>
            </xdr:cNvPr>
            <xdr:cNvSpPr/>
          </xdr:nvSpPr>
          <xdr:spPr>
            <a:xfrm>
              <a:off x="254000" y="420077"/>
              <a:ext cx="1803810" cy="937846"/>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2060"/>
                  </a:solidFill>
                </a:rPr>
                <a:t>DOANH SỐ</a:t>
              </a:r>
            </a:p>
          </xdr:txBody>
        </xdr:sp>
        <xdr:sp macro="" textlink="">
          <xdr:nvSpPr>
            <xdr:cNvPr id="11" name="Rectangle 10">
              <a:extLst>
                <a:ext uri="{FF2B5EF4-FFF2-40B4-BE49-F238E27FC236}">
                  <a16:creationId xmlns:a16="http://schemas.microsoft.com/office/drawing/2014/main" id="{80ECC652-3755-CB91-E242-279B6EECB0FB}"/>
                </a:ext>
              </a:extLst>
            </xdr:cNvPr>
            <xdr:cNvSpPr/>
          </xdr:nvSpPr>
          <xdr:spPr>
            <a:xfrm>
              <a:off x="2358635" y="420077"/>
              <a:ext cx="1802925" cy="93784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rgbClr val="002060"/>
                  </a:solidFill>
                  <a:latin typeface="+mn-lt"/>
                  <a:ea typeface="+mn-ea"/>
                  <a:cs typeface="+mn-cs"/>
                </a:rPr>
                <a:t>TARGET</a:t>
              </a:r>
            </a:p>
          </xdr:txBody>
        </xdr:sp>
        <xdr:sp macro="" textlink="">
          <xdr:nvSpPr>
            <xdr:cNvPr id="12" name="Rectangle 11">
              <a:extLst>
                <a:ext uri="{FF2B5EF4-FFF2-40B4-BE49-F238E27FC236}">
                  <a16:creationId xmlns:a16="http://schemas.microsoft.com/office/drawing/2014/main" id="{89B01830-19FA-4F0F-7905-C6DCB9FD3C26}"/>
                </a:ext>
              </a:extLst>
            </xdr:cNvPr>
            <xdr:cNvSpPr/>
          </xdr:nvSpPr>
          <xdr:spPr>
            <a:xfrm>
              <a:off x="4439366" y="420077"/>
              <a:ext cx="1802925" cy="937846"/>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rgbClr val="002060"/>
                  </a:solidFill>
                  <a:latin typeface="+mn-lt"/>
                  <a:ea typeface="+mn-ea"/>
                  <a:cs typeface="+mn-cs"/>
                </a:rPr>
                <a:t>TỈ LỆ ĐẠT TARGET</a:t>
              </a:r>
            </a:p>
          </xdr:txBody>
        </xdr:sp>
      </xdr:grpSp>
    </xdr:grpSp>
    <xdr:clientData/>
  </xdr:twoCellAnchor>
  <xdr:twoCellAnchor>
    <xdr:from>
      <xdr:col>0</xdr:col>
      <xdr:colOff>206963</xdr:colOff>
      <xdr:row>6</xdr:row>
      <xdr:rowOff>150091</xdr:rowOff>
    </xdr:from>
    <xdr:to>
      <xdr:col>17</xdr:col>
      <xdr:colOff>196273</xdr:colOff>
      <xdr:row>43</xdr:row>
      <xdr:rowOff>161636</xdr:rowOff>
    </xdr:to>
    <xdr:grpSp>
      <xdr:nvGrpSpPr>
        <xdr:cNvPr id="24" name="Group 23">
          <a:extLst>
            <a:ext uri="{FF2B5EF4-FFF2-40B4-BE49-F238E27FC236}">
              <a16:creationId xmlns:a16="http://schemas.microsoft.com/office/drawing/2014/main" id="{8D14CACC-0E24-26C4-F61C-2EA77FDFAC3C}"/>
            </a:ext>
          </a:extLst>
        </xdr:cNvPr>
        <xdr:cNvGrpSpPr/>
      </xdr:nvGrpSpPr>
      <xdr:grpSpPr>
        <a:xfrm>
          <a:off x="206963" y="1262199"/>
          <a:ext cx="12181310" cy="6869545"/>
          <a:chOff x="206963" y="1638365"/>
          <a:chExt cx="11863975" cy="7078986"/>
        </a:xfrm>
      </xdr:grpSpPr>
      <xdr:graphicFrame macro="">
        <xdr:nvGraphicFramePr>
          <xdr:cNvPr id="20" name="Chart 19">
            <a:extLst>
              <a:ext uri="{FF2B5EF4-FFF2-40B4-BE49-F238E27FC236}">
                <a16:creationId xmlns:a16="http://schemas.microsoft.com/office/drawing/2014/main" id="{54BA483C-A719-44B8-B625-A74DFBCC6FCE}"/>
              </a:ext>
            </a:extLst>
          </xdr:cNvPr>
          <xdr:cNvGraphicFramePr>
            <a:graphicFrameLocks/>
          </xdr:cNvGraphicFramePr>
        </xdr:nvGraphicFramePr>
        <xdr:xfrm>
          <a:off x="213343" y="1638365"/>
          <a:ext cx="6643396" cy="320223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1" name="Chart 20">
            <a:extLst>
              <a:ext uri="{FF2B5EF4-FFF2-40B4-BE49-F238E27FC236}">
                <a16:creationId xmlns:a16="http://schemas.microsoft.com/office/drawing/2014/main" id="{B63A1B38-ACC4-4F09-818E-BCDB7702ADE5}"/>
              </a:ext>
            </a:extLst>
          </xdr:cNvPr>
          <xdr:cNvGraphicFramePr>
            <a:graphicFrameLocks/>
          </xdr:cNvGraphicFramePr>
        </xdr:nvGraphicFramePr>
        <xdr:xfrm>
          <a:off x="206963" y="5070429"/>
          <a:ext cx="11863975" cy="364692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2" name="Chart 21">
            <a:extLst>
              <a:ext uri="{FF2B5EF4-FFF2-40B4-BE49-F238E27FC236}">
                <a16:creationId xmlns:a16="http://schemas.microsoft.com/office/drawing/2014/main" id="{15006400-0D61-4CDD-AF3A-60B6DBE20E93}"/>
              </a:ext>
            </a:extLst>
          </xdr:cNvPr>
          <xdr:cNvGraphicFramePr>
            <a:graphicFrameLocks/>
          </xdr:cNvGraphicFramePr>
        </xdr:nvGraphicFramePr>
        <xdr:xfrm>
          <a:off x="7111635" y="1650854"/>
          <a:ext cx="4951010" cy="318572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18</xdr:col>
      <xdr:colOff>4541</xdr:colOff>
      <xdr:row>0</xdr:row>
      <xdr:rowOff>159553</xdr:rowOff>
    </xdr:from>
    <xdr:to>
      <xdr:col>22</xdr:col>
      <xdr:colOff>616849</xdr:colOff>
      <xdr:row>4</xdr:row>
      <xdr:rowOff>32329</xdr:rowOff>
    </xdr:to>
    <mc:AlternateContent xmlns:mc="http://schemas.openxmlformats.org/markup-compatibility/2006" xmlns:a14="http://schemas.microsoft.com/office/drawing/2010/main">
      <mc:Choice Requires="a14">
        <xdr:graphicFrame macro="">
          <xdr:nvGraphicFramePr>
            <xdr:cNvPr id="25" name="Tháng">
              <a:extLst>
                <a:ext uri="{FF2B5EF4-FFF2-40B4-BE49-F238E27FC236}">
                  <a16:creationId xmlns:a16="http://schemas.microsoft.com/office/drawing/2014/main" id="{37D5A60C-33E3-CB4B-28EF-53C2E6D43754}"/>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12783487" y="159553"/>
              <a:ext cx="5101930" cy="614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580356</xdr:colOff>
      <xdr:row>5</xdr:row>
      <xdr:rowOff>73939</xdr:rowOff>
    </xdr:from>
    <xdr:to>
      <xdr:col>22</xdr:col>
      <xdr:colOff>609359</xdr:colOff>
      <xdr:row>8</xdr:row>
      <xdr:rowOff>171469</xdr:rowOff>
    </xdr:to>
    <mc:AlternateContent xmlns:mc="http://schemas.openxmlformats.org/markup-compatibility/2006" xmlns:a14="http://schemas.microsoft.com/office/drawing/2010/main">
      <mc:Choice Requires="a14">
        <xdr:graphicFrame macro="">
          <xdr:nvGraphicFramePr>
            <xdr:cNvPr id="26" name="PIC">
              <a:extLst>
                <a:ext uri="{FF2B5EF4-FFF2-40B4-BE49-F238E27FC236}">
                  <a16:creationId xmlns:a16="http://schemas.microsoft.com/office/drawing/2014/main" id="{D0C148CC-2E51-F1A3-5B72-7EA58E8AF2B5}"/>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2772356" y="1000696"/>
              <a:ext cx="5105571" cy="653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532355</xdr:colOff>
      <xdr:row>31</xdr:row>
      <xdr:rowOff>10438</xdr:rowOff>
    </xdr:from>
    <xdr:to>
      <xdr:col>22</xdr:col>
      <xdr:colOff>709807</xdr:colOff>
      <xdr:row>43</xdr:row>
      <xdr:rowOff>146137</xdr:rowOff>
    </xdr:to>
    <xdr:sp macro="" textlink="">
      <xdr:nvSpPr>
        <xdr:cNvPr id="27" name="Rectangle: Rounded Corners 26">
          <a:extLst>
            <a:ext uri="{FF2B5EF4-FFF2-40B4-BE49-F238E27FC236}">
              <a16:creationId xmlns:a16="http://schemas.microsoft.com/office/drawing/2014/main" id="{6894829D-5EBC-3F37-354B-093AD86E3F48}"/>
            </a:ext>
          </a:extLst>
        </xdr:cNvPr>
        <xdr:cNvSpPr/>
      </xdr:nvSpPr>
      <xdr:spPr>
        <a:xfrm>
          <a:off x="12682602" y="5835041"/>
          <a:ext cx="5187863" cy="239038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Đánh</a:t>
          </a:r>
          <a:r>
            <a:rPr lang="en-US" sz="1200" b="1" baseline="0">
              <a:solidFill>
                <a:schemeClr val="tx1"/>
              </a:solidFill>
            </a:rPr>
            <a:t> giá nhận xét:</a:t>
          </a:r>
        </a:p>
        <a:p>
          <a:pPr algn="l"/>
          <a:r>
            <a:rPr lang="en-US" sz="1000" b="1">
              <a:solidFill>
                <a:schemeClr val="tx1"/>
              </a:solidFill>
            </a:rPr>
            <a:t>-   </a:t>
          </a:r>
          <a:r>
            <a:rPr lang="vi-VN" sz="1000" b="1">
              <a:solidFill>
                <a:schemeClr val="tx1"/>
              </a:solidFill>
            </a:rPr>
            <a:t>Tổng quan:</a:t>
          </a:r>
          <a:r>
            <a:rPr lang="vi-VN" sz="1000">
              <a:solidFill>
                <a:schemeClr val="tx1"/>
              </a:solidFill>
            </a:rPr>
            <a:t> Toàn công ty đạt doanh số 121,5 tỷ VNĐ, hoàn thành </a:t>
          </a:r>
          <a:r>
            <a:rPr lang="vi-VN" sz="1000" b="1">
              <a:solidFill>
                <a:schemeClr val="tx1"/>
              </a:solidFill>
            </a:rPr>
            <a:t>93,22%</a:t>
          </a:r>
          <a:r>
            <a:rPr lang="vi-VN" sz="1000">
              <a:solidFill>
                <a:schemeClr val="tx1"/>
              </a:solidFill>
            </a:rPr>
            <a:t> kế hoạch. Xu hướng có sự phục hồi và vượt target vào tháng 6 (đạt 101,51%).</a:t>
          </a:r>
        </a:p>
        <a:p>
          <a:pPr algn="l"/>
          <a:r>
            <a:rPr lang="en-US" sz="1000" b="1">
              <a:solidFill>
                <a:schemeClr val="tx1"/>
              </a:solidFill>
            </a:rPr>
            <a:t>-</a:t>
          </a:r>
          <a:r>
            <a:rPr lang="en-US" sz="1000" b="1" baseline="0">
              <a:solidFill>
                <a:schemeClr val="tx1"/>
              </a:solidFill>
            </a:rPr>
            <a:t>   </a:t>
          </a:r>
          <a:r>
            <a:rPr lang="vi-VN" sz="1000" b="1">
              <a:solidFill>
                <a:schemeClr val="tx1"/>
              </a:solidFill>
            </a:rPr>
            <a:t>Sản phẩm trụ cột:</a:t>
          </a:r>
          <a:r>
            <a:rPr lang="vi-VN" sz="1000">
              <a:solidFill>
                <a:schemeClr val="tx1"/>
              </a:solidFill>
            </a:rPr>
            <a:t> </a:t>
          </a:r>
          <a:r>
            <a:rPr lang="vi-VN" sz="1000" b="1">
              <a:solidFill>
                <a:schemeClr val="tx1"/>
              </a:solidFill>
            </a:rPr>
            <a:t>iPhone Cũ</a:t>
          </a:r>
          <a:r>
            <a:rPr lang="vi-VN" sz="1000">
              <a:solidFill>
                <a:schemeClr val="tx1"/>
              </a:solidFill>
            </a:rPr>
            <a:t> đóng góp tới </a:t>
          </a:r>
          <a:r>
            <a:rPr lang="vi-VN" sz="1000" b="1">
              <a:solidFill>
                <a:schemeClr val="tx1"/>
              </a:solidFill>
            </a:rPr>
            <a:t>99,4 tỷ VNĐ (~82% tổng doanh thu)</a:t>
          </a:r>
          <a:r>
            <a:rPr lang="vi-VN" sz="1000">
              <a:solidFill>
                <a:schemeClr val="tx1"/>
              </a:solidFill>
            </a:rPr>
            <a:t>. Việc mặt hàng này chưa đạt chỉ tiêu (93,77%) là nguyên nhân trọng yếu nhất kéo giảm tỷ lệ hoàn thành chung.</a:t>
          </a:r>
        </a:p>
        <a:p>
          <a:pPr algn="l"/>
          <a:r>
            <a:rPr lang="en-US" sz="1000" b="1">
              <a:solidFill>
                <a:schemeClr val="tx1"/>
              </a:solidFill>
            </a:rPr>
            <a:t>-   </a:t>
          </a:r>
          <a:r>
            <a:rPr lang="vi-VN" sz="1000" b="1">
              <a:solidFill>
                <a:schemeClr val="tx1"/>
              </a:solidFill>
            </a:rPr>
            <a:t>Hiệu quả nhân sự:</a:t>
          </a:r>
          <a:r>
            <a:rPr lang="vi-VN" sz="1000">
              <a:solidFill>
                <a:schemeClr val="tx1"/>
              </a:solidFill>
            </a:rPr>
            <a:t> Phụ thuộc lớn vào </a:t>
          </a:r>
          <a:r>
            <a:rPr lang="vi-VN" sz="1000" b="1">
              <a:solidFill>
                <a:schemeClr val="tx1"/>
              </a:solidFill>
            </a:rPr>
            <a:t>Nam</a:t>
          </a:r>
          <a:r>
            <a:rPr lang="vi-VN" sz="1000">
              <a:solidFill>
                <a:schemeClr val="tx1"/>
              </a:solidFill>
            </a:rPr>
            <a:t> (quản lý 88,5% doanh thu, đạt 93,07%). Nhóm quy mô nhỏ (Minh, Lan) vượt chỉ tiêu tốt (&gt;100%) nhưng tỷ trọng đóng góp chưa cao.</a:t>
          </a:r>
        </a:p>
        <a:p>
          <a:pPr algn="l"/>
          <a:r>
            <a:rPr lang="en-US" sz="1000" b="1">
              <a:solidFill>
                <a:schemeClr val="tx1"/>
              </a:solidFill>
            </a:rPr>
            <a:t>-   </a:t>
          </a:r>
          <a:r>
            <a:rPr lang="vi-VN" sz="1000" b="1">
              <a:solidFill>
                <a:schemeClr val="tx1"/>
              </a:solidFill>
            </a:rPr>
            <a:t>Điểm cần khắc phục:</a:t>
          </a:r>
          <a:r>
            <a:rPr lang="vi-VN" sz="1000">
              <a:solidFill>
                <a:schemeClr val="tx1"/>
              </a:solidFill>
            </a:rPr>
            <a:t> Các dòng máy như Macbook Cũ (64,3%), iPad Cũ (79,6%) và nhóm Android (Samsung, Xiaomi) đang có tỷ lệ hoàn thành thấp nhất. Cần ưu tiên chính sách thúc đẩy bán hàng cho nhóm iPhone Cũ để nhanh chóng cải thiện doanh thu tổng.</a:t>
          </a:r>
        </a:p>
        <a:p>
          <a:pPr algn="l"/>
          <a:endParaRPr lang="en-US" sz="1100" b="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413562</xdr:colOff>
      <xdr:row>4</xdr:row>
      <xdr:rowOff>199793</xdr:rowOff>
    </xdr:from>
    <xdr:to>
      <xdr:col>25</xdr:col>
      <xdr:colOff>466165</xdr:colOff>
      <xdr:row>33</xdr:row>
      <xdr:rowOff>116541</xdr:rowOff>
    </xdr:to>
    <xdr:graphicFrame macro="">
      <xdr:nvGraphicFramePr>
        <xdr:cNvPr id="3" name="Chart 2">
          <a:extLst>
            <a:ext uri="{FF2B5EF4-FFF2-40B4-BE49-F238E27FC236}">
              <a16:creationId xmlns:a16="http://schemas.microsoft.com/office/drawing/2014/main" id="{030915ED-C795-5294-3A14-1D26C492B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487198</xdr:colOff>
      <xdr:row>34</xdr:row>
      <xdr:rowOff>7242</xdr:rowOff>
    </xdr:from>
    <xdr:to>
      <xdr:col>18</xdr:col>
      <xdr:colOff>5863</xdr:colOff>
      <xdr:row>49</xdr:row>
      <xdr:rowOff>69305</xdr:rowOff>
    </xdr:to>
    <xdr:graphicFrame macro="">
      <xdr:nvGraphicFramePr>
        <xdr:cNvPr id="4" name="Chart 3">
          <a:extLst>
            <a:ext uri="{FF2B5EF4-FFF2-40B4-BE49-F238E27FC236}">
              <a16:creationId xmlns:a16="http://schemas.microsoft.com/office/drawing/2014/main" id="{3BE21A6F-3439-9585-02DF-0A6684521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486833</xdr:colOff>
      <xdr:row>53</xdr:row>
      <xdr:rowOff>56690</xdr:rowOff>
    </xdr:from>
    <xdr:to>
      <xdr:col>27</xdr:col>
      <xdr:colOff>592666</xdr:colOff>
      <xdr:row>83</xdr:row>
      <xdr:rowOff>45494</xdr:rowOff>
    </xdr:to>
    <xdr:graphicFrame macro="">
      <xdr:nvGraphicFramePr>
        <xdr:cNvPr id="5" name="Chart 4">
          <a:extLst>
            <a:ext uri="{FF2B5EF4-FFF2-40B4-BE49-F238E27FC236}">
              <a16:creationId xmlns:a16="http://schemas.microsoft.com/office/drawing/2014/main" id="{5817347A-87A0-E8E3-DE35-9544A8F29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43190</xdr:colOff>
      <xdr:row>131</xdr:row>
      <xdr:rowOff>169872</xdr:rowOff>
    </xdr:from>
    <xdr:to>
      <xdr:col>11</xdr:col>
      <xdr:colOff>526143</xdr:colOff>
      <xdr:row>174</xdr:row>
      <xdr:rowOff>128308</xdr:rowOff>
    </xdr:to>
    <xdr:sp macro="" textlink="">
      <xdr:nvSpPr>
        <xdr:cNvPr id="6" name="Rectangle: Rounded Corners 5">
          <a:extLst>
            <a:ext uri="{FF2B5EF4-FFF2-40B4-BE49-F238E27FC236}">
              <a16:creationId xmlns:a16="http://schemas.microsoft.com/office/drawing/2014/main" id="{6802E329-2AB3-52C7-7161-28F51BC24F28}"/>
            </a:ext>
          </a:extLst>
        </xdr:cNvPr>
        <xdr:cNvSpPr/>
      </xdr:nvSpPr>
      <xdr:spPr>
        <a:xfrm>
          <a:off x="13526961" y="24089415"/>
          <a:ext cx="7783639" cy="775986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vi-VN" sz="1200" b="1">
              <a:solidFill>
                <a:schemeClr val="tx1"/>
              </a:solidFill>
            </a:rPr>
            <a:t>Nhận xét về tồn kho theo danh mục và sản phẩm</a:t>
          </a:r>
          <a:r>
            <a:rPr lang="en-US" sz="1200" b="1">
              <a:solidFill>
                <a:schemeClr val="tx1"/>
              </a:solidFill>
            </a:rPr>
            <a:t>:</a:t>
          </a:r>
        </a:p>
        <a:p>
          <a:endParaRPr lang="vi-VN" sz="1200" b="0">
            <a:solidFill>
              <a:schemeClr val="tx1"/>
            </a:solidFill>
          </a:endParaRPr>
        </a:p>
        <a:p>
          <a:r>
            <a:rPr lang="en-US" sz="1200" b="0">
              <a:solidFill>
                <a:schemeClr val="tx1"/>
              </a:solidFill>
            </a:rPr>
            <a:t>- </a:t>
          </a:r>
          <a:r>
            <a:rPr lang="vi-VN" sz="1200" b="0">
              <a:solidFill>
                <a:schemeClr val="tx1"/>
              </a:solidFill>
            </a:rPr>
            <a:t>Tại thời điểm 12/7, tồn kho tập trung chủ yếu ở một số nhóm hàng lớn như IPHONE CŨ, SAMSUNG CŨ, IPAD CŨ, MACBOOK CŨ và APPLE WATCH CŨ. Trong đó, IPHONE CŨ là nhóm có quy mô tồn kho lớn nhất, đồng thời cũng có tốc độ bán cao nhất, nên được tách riêng để quan sát rõ hơn xu hướng tiêu thụ và khả năng thiếu hàng. Nếu gộp chung với các nhóm còn lại, chênh lệch quy mô quá lớn sẽ làm khó theo dõi các danh mục khác.</a:t>
          </a:r>
        </a:p>
        <a:p>
          <a:r>
            <a:rPr lang="en-US" sz="1200">
              <a:solidFill>
                <a:schemeClr val="tx1"/>
              </a:solidFill>
            </a:rPr>
            <a:t>- </a:t>
          </a:r>
          <a:r>
            <a:rPr lang="vi-VN" sz="1200">
              <a:solidFill>
                <a:schemeClr val="tx1"/>
              </a:solidFill>
            </a:rPr>
            <a:t>Xét theo dự báo đến cuối tháng 7, một số danh mục có nguy cơ thiếu tồn rõ rệt như </a:t>
          </a:r>
          <a:r>
            <a:rPr lang="vi-VN" sz="1200" b="0">
              <a:solidFill>
                <a:schemeClr val="tx1"/>
              </a:solidFill>
            </a:rPr>
            <a:t>SAMSUNG CŨ, VSMART CŨ, XIAOMI CŨ, IPAD CŨ, cho thấy lượng tồn hiện tại không đủ bù cho tốc độ bán trong phần còn lại của tháng. Ngược lại, các nhóm như MACBOOK CŨ và APPLE WATCH CŨ vẫn đang ở trạng thái tương đối an toàn.</a:t>
          </a:r>
        </a:p>
        <a:p>
          <a:r>
            <a:rPr lang="en-US" sz="1200" b="0" baseline="0">
              <a:solidFill>
                <a:schemeClr val="tx1"/>
              </a:solidFill>
            </a:rPr>
            <a:t>- </a:t>
          </a:r>
          <a:r>
            <a:rPr lang="vi-VN" sz="1200" b="0">
              <a:solidFill>
                <a:schemeClr val="tx1"/>
              </a:solidFill>
            </a:rPr>
            <a:t>Ở cấp sản phẩm, nhu cầu đang tập trung mạnh vào một số mã iPhone cũ, đặc biệt là các model như iPhone XS Max 64GB Cũ, iPhone XS 64GB Cũ, iPhone XR 64GB Cũ. Một số mã dù tồn hiện tại cao nhưng vẫn có dự báo âm cuối tháng, cho thấy tốc độ bán rất nhanh và cần bổ sung sớm để tránh thiếu hàng. Bên cạnh đó, cũng có một số sản phẩm tồn cao nhưng dự báo vẫn dương, phù hợp để giữ nguyên mức tồn và tiếp tục theo dõi bán ra.</a:t>
          </a:r>
          <a:endParaRPr lang="en-US" sz="1200" b="0">
            <a:solidFill>
              <a:schemeClr val="tx1"/>
            </a:solidFill>
          </a:endParaRPr>
        </a:p>
        <a:p>
          <a:endParaRPr lang="vi-VN" sz="1200" b="0">
            <a:solidFill>
              <a:schemeClr val="tx1"/>
            </a:solidFill>
          </a:endParaRPr>
        </a:p>
        <a:p>
          <a:r>
            <a:rPr lang="vi-VN" sz="1200" b="1">
              <a:solidFill>
                <a:schemeClr val="tx1"/>
              </a:solidFill>
            </a:rPr>
            <a:t>Đề xuất để cân đối và đảm bảo lượng trữ tồn</a:t>
          </a:r>
          <a:r>
            <a:rPr lang="en-US" sz="1200" b="1">
              <a:solidFill>
                <a:schemeClr val="tx1"/>
              </a:solidFill>
            </a:rPr>
            <a:t>:</a:t>
          </a:r>
        </a:p>
        <a:p>
          <a:endParaRPr lang="vi-VN" sz="1200" b="1">
            <a:solidFill>
              <a:schemeClr val="tx1"/>
            </a:solidFill>
          </a:endParaRPr>
        </a:p>
        <a:p>
          <a:r>
            <a:rPr lang="en-US" sz="1200" b="0">
              <a:solidFill>
                <a:schemeClr val="tx1"/>
              </a:solidFill>
            </a:rPr>
            <a:t>- </a:t>
          </a:r>
          <a:r>
            <a:rPr lang="vi-VN" sz="1200" b="0">
              <a:solidFill>
                <a:schemeClr val="tx1"/>
              </a:solidFill>
            </a:rPr>
            <a:t>Cần thực hiện cân đối tồn kho theo hai hướng:</a:t>
          </a:r>
        </a:p>
        <a:p>
          <a:r>
            <a:rPr lang="en-US" sz="1200" b="0">
              <a:solidFill>
                <a:schemeClr val="tx1"/>
              </a:solidFill>
            </a:rPr>
            <a:t>+ </a:t>
          </a:r>
          <a:r>
            <a:rPr lang="vi-VN" sz="1200" b="0">
              <a:solidFill>
                <a:schemeClr val="tx1"/>
              </a:solidFill>
            </a:rPr>
            <a:t>Bổ sung hoặc điều chuyển hàng đối với các danh mục và sản phẩm có dự báo tồn âm cuối tháng, ưu tiên các nhóm SAMSUNG CŨ, VSMART CŨ, XIAOMI CŨ, IPAD CŨ và các mã iPhone bán nhanh. </a:t>
          </a:r>
        </a:p>
        <a:p>
          <a:r>
            <a:rPr lang="en-US" sz="1200" b="0">
              <a:solidFill>
                <a:schemeClr val="tx1"/>
              </a:solidFill>
            </a:rPr>
            <a:t>+ </a:t>
          </a:r>
          <a:r>
            <a:rPr lang="vi-VN" sz="1200" b="0">
              <a:solidFill>
                <a:schemeClr val="tx1"/>
              </a:solidFill>
            </a:rPr>
            <a:t>Hạn chế nhập thêm đối với các nhóm đang có tồn tương đối an toàn hoặc sản phẩm có tồn cao nhưng tốc độ bán chưa tương xứng, nhằm tránh dồn tồn cuối kỳ. </a:t>
          </a:r>
        </a:p>
        <a:p>
          <a:r>
            <a:rPr lang="en-US" sz="1200" b="1">
              <a:solidFill>
                <a:schemeClr val="tx1"/>
              </a:solidFill>
            </a:rPr>
            <a:t>- </a:t>
          </a:r>
          <a:r>
            <a:rPr lang="vi-VN" sz="1200" b="0">
              <a:solidFill>
                <a:schemeClr val="tx1"/>
              </a:solidFill>
            </a:rPr>
            <a:t>Ví dụ</a:t>
          </a:r>
          <a:r>
            <a:rPr lang="en-US" sz="1200" b="0">
              <a:solidFill>
                <a:schemeClr val="tx1"/>
              </a:solidFill>
            </a:rPr>
            <a:t> :</a:t>
          </a:r>
          <a:endParaRPr lang="vi-VN" sz="1200" b="0">
            <a:solidFill>
              <a:schemeClr val="tx1"/>
            </a:solidFill>
          </a:endParaRPr>
        </a:p>
        <a:p>
          <a:r>
            <a:rPr lang="en-US" sz="1200" b="0">
              <a:solidFill>
                <a:schemeClr val="tx1"/>
              </a:solidFill>
            </a:rPr>
            <a:t>+</a:t>
          </a:r>
          <a:r>
            <a:rPr lang="vi-VN" sz="1200" b="0">
              <a:solidFill>
                <a:schemeClr val="tx1"/>
              </a:solidFill>
            </a:rPr>
            <a:t>iPhone XS Max 64GB Cũ có tốc độ bán rất cao và dự báo thiếu hàng cuối tháng, nên cần ưu tiên bổ sung. </a:t>
          </a:r>
        </a:p>
        <a:p>
          <a:r>
            <a:rPr lang="en-US" sz="1200" b="0">
              <a:solidFill>
                <a:schemeClr val="tx1"/>
              </a:solidFill>
            </a:rPr>
            <a:t>+ </a:t>
          </a:r>
          <a:r>
            <a:rPr lang="vi-VN" sz="1200" b="0">
              <a:solidFill>
                <a:schemeClr val="tx1"/>
              </a:solidFill>
            </a:rPr>
            <a:t>Samsung Galaxy A80 hoặc một số mã thuộc SAMSUNG CŨ có dự báo âm, nên cần xem xét nhập thêm hoặc điều chuyển hàng. </a:t>
          </a:r>
        </a:p>
        <a:p>
          <a:r>
            <a:rPr lang="en-US" sz="1200" b="0">
              <a:solidFill>
                <a:schemeClr val="tx1"/>
              </a:solidFill>
            </a:rPr>
            <a:t>+ </a:t>
          </a:r>
          <a:r>
            <a:rPr lang="vi-VN" sz="1200" b="0">
              <a:solidFill>
                <a:schemeClr val="tx1"/>
              </a:solidFill>
            </a:rPr>
            <a:t>Với các nhóm như MACBOOK CŨ hoặc APPLE WATCH CŨ, tồn cuối tháng vẫn còn dương nên chưa cần bổ sung ngay, chủ yếu tiếp tục theo dõi. </a:t>
          </a:r>
          <a:endParaRPr lang="en-US" sz="1200" b="0">
            <a:solidFill>
              <a:schemeClr val="tx1"/>
            </a:solidFill>
          </a:endParaRPr>
        </a:p>
        <a:p>
          <a:endParaRPr lang="vi-VN" sz="1200" b="0">
            <a:solidFill>
              <a:schemeClr val="tx1"/>
            </a:solidFill>
          </a:endParaRPr>
        </a:p>
        <a:p>
          <a:r>
            <a:rPr lang="vi-VN" sz="1200" b="1">
              <a:solidFill>
                <a:schemeClr val="tx1"/>
              </a:solidFill>
            </a:rPr>
            <a:t>Kết luận</a:t>
          </a:r>
          <a:endParaRPr lang="en-US" sz="1200" b="1">
            <a:solidFill>
              <a:schemeClr val="tx1"/>
            </a:solidFill>
          </a:endParaRPr>
        </a:p>
        <a:p>
          <a:endParaRPr lang="vi-VN" sz="1200" b="1">
            <a:solidFill>
              <a:schemeClr val="tx1"/>
            </a:solidFill>
          </a:endParaRPr>
        </a:p>
        <a:p>
          <a:r>
            <a:rPr lang="vi-VN" sz="1200" b="1">
              <a:solidFill>
                <a:schemeClr val="tx1"/>
              </a:solidFill>
            </a:rPr>
            <a:t>Đến cuối tháng 7, cần thực hiện hành động để cân đối lượng trữ tồn. Trọng tâm là bổ sung cho các nhóm và sản phẩm có nguy cơ thiếu hàng, đồng thời kiểm soát nhập vào ở các nhóm đang có tồn an toàn để đảm bảo cân đối giữa khả năng bán ra và lượng hàng dự trữ.</a:t>
          </a:r>
        </a:p>
        <a:p>
          <a:pPr algn="l"/>
          <a:endParaRPr lang="en-US" sz="1200">
            <a:solidFill>
              <a:schemeClr val="tx1"/>
            </a:solidFill>
          </a:endParaRPr>
        </a:p>
      </xdr:txBody>
    </xdr:sp>
    <xdr:clientData/>
  </xdr:twoCellAnchor>
  <xdr:twoCellAnchor>
    <xdr:from>
      <xdr:col>11</xdr:col>
      <xdr:colOff>535973</xdr:colOff>
      <xdr:row>87</xdr:row>
      <xdr:rowOff>157916</xdr:rowOff>
    </xdr:from>
    <xdr:to>
      <xdr:col>27</xdr:col>
      <xdr:colOff>500531</xdr:colOff>
      <xdr:row>110</xdr:row>
      <xdr:rowOff>156145</xdr:rowOff>
    </xdr:to>
    <xdr:graphicFrame macro="">
      <xdr:nvGraphicFramePr>
        <xdr:cNvPr id="7" name="Chart 6">
          <a:extLst>
            <a:ext uri="{FF2B5EF4-FFF2-40B4-BE49-F238E27FC236}">
              <a16:creationId xmlns:a16="http://schemas.microsoft.com/office/drawing/2014/main" id="{B85535C5-E5DA-2635-4DED-6D7EA3604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518039</xdr:colOff>
      <xdr:row>111</xdr:row>
      <xdr:rowOff>162160</xdr:rowOff>
    </xdr:from>
    <xdr:to>
      <xdr:col>27</xdr:col>
      <xdr:colOff>518040</xdr:colOff>
      <xdr:row>134</xdr:row>
      <xdr:rowOff>173182</xdr:rowOff>
    </xdr:to>
    <xdr:graphicFrame macro="">
      <xdr:nvGraphicFramePr>
        <xdr:cNvPr id="8" name="Chart 7">
          <a:extLst>
            <a:ext uri="{FF2B5EF4-FFF2-40B4-BE49-F238E27FC236}">
              <a16:creationId xmlns:a16="http://schemas.microsoft.com/office/drawing/2014/main" id="{41D3E188-C7D5-8530-0B1B-6B49871DC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0</xdr:colOff>
      <xdr:row>20</xdr:row>
      <xdr:rowOff>0</xdr:rowOff>
    </xdr:from>
    <xdr:to>
      <xdr:col>31</xdr:col>
      <xdr:colOff>533400</xdr:colOff>
      <xdr:row>22</xdr:row>
      <xdr:rowOff>22860</xdr:rowOff>
    </xdr:to>
    <xdr:sp macro="" textlink="">
      <xdr:nvSpPr>
        <xdr:cNvPr id="11265" name="Text Box 1">
          <a:extLst>
            <a:ext uri="{FF2B5EF4-FFF2-40B4-BE49-F238E27FC236}">
              <a16:creationId xmlns:a16="http://schemas.microsoft.com/office/drawing/2014/main" id="{247B802E-9FD0-9D0B-AF67-E78D9FABEEA7}"/>
            </a:ext>
          </a:extLst>
        </xdr:cNvPr>
        <xdr:cNvSpPr txBox="1">
          <a:spLocks noChangeArrowheads="1"/>
        </xdr:cNvSpPr>
      </xdr:nvSpPr>
      <xdr:spPr bwMode="auto">
        <a:xfrm>
          <a:off x="33748980" y="3749040"/>
          <a:ext cx="533400" cy="3886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ea typeface="Calibri"/>
              <a:cs typeface="Calibri"/>
            </a:rPr>
            <a:t>Nhận xét về tồn kho theo danh mục và sản phẩm</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Tại thời điểm 12/7, tồn kho tập trung chủ yếu ở một số nhóm hàng lớn như IPHONE CŨ, SAMSUNG CŨ, IPAD CŨ, MACBOOK CŨ và APPLE WATCH CŨ. Trong đó, IPHONE CŨ là nhóm có quy mô tồn kho lớn nhất, đồng thời cũng có tốc độ bán cao nhất, nên được tách riêng để quan sát rõ hơn xu hướng tiêu thụ và khả năng thiếu hàng. Nếu gộp chung với các nhóm còn lại, chênh lệch quy mô quá lớn sẽ làm khó theo dõi các danh mục khác.</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Xét theo dự báo đến cuối tháng 7, một số danh mục có nguy cơ thiếu tồn rõ rệt như SAMSUNG CŨ, VSMART CŨ, XIAOMI CŨ, IPAD CŨ, cho thấy lượng tồn hiện tại không đủ bù cho tốc độ bán trong phần còn lại của tháng. Ngược lại, các nhóm như MACBOOK CŨ và APPLE WATCH CŨ vẫn đang ở trạng thái tương đối an toàn.</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Ở cấp sản phẩm, nhu cầu đang tập trung mạnh vào một số mã iPhone cũ, đặc biệt là các model như iPhone XS Max 64GB Cũ, iPhone XS 64GB Cũ, iPhone XR 64GB Cũ. Một số mã dù tồn hiện tại cao nhưng vẫn có dự báo âm cuối tháng, cho thấy tốc độ bán rất nhanh và cần bổ sung sớm để tránh thiếu hàng. Bên cạnh đó, cũng có một số sản phẩm tồn cao nhưng dự báo vẫn dương, phù hợp để giữ nguyên mức tồn và tiếp tục theo dõi bán ra.</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Đề xuất để cân đối và đảm bảo lượng trữ tồn</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Cần thực hiện cân đối tồn kho theo hai hướng:</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Bổ sung hoặc điều chuyển hàng đối với các danh mục và sản phẩm có dự báo tồn âm cuối tháng, ưu tiên các nhóm SAMSUNG CŨ, VSMART CŨ, XIAOMI CŨ, IPAD CŨ và các mã iPhone bán nhanh.</a:t>
          </a:r>
        </a:p>
        <a:p>
          <a:pPr algn="l" rtl="0">
            <a:defRPr sz="1000"/>
          </a:pPr>
          <a:r>
            <a:rPr lang="en-US" sz="1100" b="0" i="0" u="none" strike="noStrike" baseline="0">
              <a:solidFill>
                <a:srgbClr val="000000"/>
              </a:solidFill>
              <a:latin typeface="Calibri"/>
              <a:ea typeface="Calibri"/>
              <a:cs typeface="Calibri"/>
            </a:rPr>
            <a:t>Hạn chế nhập thêm đối với các nhóm đang có tồn tương đối an toàn hoặc sản phẩm có tồn cao nhưng tốc độ bán chưa tương xứng, nhằm tránh dồn tồn cuối kỳ.</a:t>
          </a:r>
        </a:p>
        <a:p>
          <a:pPr algn="l" rtl="0">
            <a:defRPr sz="1000"/>
          </a:pPr>
          <a:r>
            <a:rPr lang="en-US" sz="1100" b="0" i="0" u="none" strike="noStrike" baseline="0">
              <a:solidFill>
                <a:srgbClr val="000000"/>
              </a:solidFill>
              <a:latin typeface="Calibri"/>
              <a:ea typeface="Calibri"/>
              <a:cs typeface="Calibri"/>
            </a:rPr>
            <a:t>Ví dụ</a:t>
          </a:r>
        </a:p>
        <a:p>
          <a:pPr algn="l" rtl="0">
            <a:defRPr sz="1000"/>
          </a:pPr>
          <a:r>
            <a:rPr lang="en-US" sz="1100" b="0" i="0" u="none" strike="noStrike" baseline="0">
              <a:solidFill>
                <a:srgbClr val="000000"/>
              </a:solidFill>
              <a:latin typeface="Calibri"/>
              <a:ea typeface="Calibri"/>
              <a:cs typeface="Calibri"/>
            </a:rPr>
            <a:t>iPhone XS Max 64GB Cũ có tốc độ bán rất cao và dự báo thiếu hàng cuối tháng, nên cần ưu tiên bổ sung.</a:t>
          </a:r>
        </a:p>
        <a:p>
          <a:pPr algn="l" rtl="0">
            <a:defRPr sz="1000"/>
          </a:pPr>
          <a:r>
            <a:rPr lang="en-US" sz="1100" b="0" i="0" u="none" strike="noStrike" baseline="0">
              <a:solidFill>
                <a:srgbClr val="000000"/>
              </a:solidFill>
              <a:latin typeface="Calibri"/>
              <a:ea typeface="Calibri"/>
              <a:cs typeface="Calibri"/>
            </a:rPr>
            <a:t>Samsung Galaxy A80 hoặc một số mã thuộc SAMSUNG CŨ có dự báo âm, nên cần xem xét nhập thêm hoặc điều chuyển hàng.</a:t>
          </a:r>
        </a:p>
        <a:p>
          <a:pPr algn="l" rtl="0">
            <a:defRPr sz="1000"/>
          </a:pPr>
          <a:r>
            <a:rPr lang="en-US" sz="1100" b="0" i="0" u="none" strike="noStrike" baseline="0">
              <a:solidFill>
                <a:srgbClr val="000000"/>
              </a:solidFill>
              <a:latin typeface="Calibri"/>
              <a:ea typeface="Calibri"/>
              <a:cs typeface="Calibri"/>
            </a:rPr>
            <a:t>Với các nhóm như MACBOOK CŨ hoặc APPLE WATCH CŨ, tồn cuối tháng vẫn còn dương nên chưa cần bổ sung ngay, chủ yếu tiếp tục theo dõi và tối ưu vòng quay.</a:t>
          </a:r>
        </a:p>
        <a:p>
          <a:pPr algn="l" rtl="0">
            <a:defRPr sz="1000"/>
          </a:pPr>
          <a:r>
            <a:rPr lang="en-US" sz="1100" b="0" i="0" u="none" strike="noStrike" baseline="0">
              <a:solidFill>
                <a:srgbClr val="000000"/>
              </a:solidFill>
              <a:latin typeface="Calibri"/>
              <a:ea typeface="Calibri"/>
              <a:cs typeface="Calibri"/>
            </a:rPr>
            <a:t>Kết luận</a:t>
          </a:r>
        </a:p>
        <a:p>
          <a:pPr algn="l" rtl="0">
            <a:defRPr sz="1000"/>
          </a:pPr>
          <a:endParaRPr lang="en-US" sz="1100" b="0" i="0" u="none" strike="noStrike" baseline="0">
            <a:solidFill>
              <a:srgbClr val="000000"/>
            </a:solidFill>
            <a:latin typeface="Calibri"/>
            <a:ea typeface="Calibri"/>
            <a:cs typeface="Calibri"/>
          </a:endParaRPr>
        </a:p>
        <a:p>
          <a:pPr algn="l" rtl="0">
            <a:defRPr sz="1000"/>
          </a:pPr>
          <a:r>
            <a:rPr lang="en-US" sz="1100" b="0" i="0" u="none" strike="noStrike" baseline="0">
              <a:solidFill>
                <a:srgbClr val="000000"/>
              </a:solidFill>
              <a:latin typeface="Calibri"/>
              <a:ea typeface="Calibri"/>
              <a:cs typeface="Calibri"/>
            </a:rPr>
            <a:t>Đến cuối tháng 7, có cần thực hiện hành động để cân đối lượng trữ tồn. Trọng tâm là bổ sung cho các nhóm và sản phẩm có nguy cơ thiếu hàng, đồng thời kiểm soát nhập vào ở các nhóm đang có tồn an toàn để đảm bảo cân đối giữa khả năng bán ra và lượng hàng dự trữ.</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448943402778" createdVersion="5" refreshedVersion="8" minRefreshableVersion="3" recordCount="0" supportSubquery="1" supportAdvancedDrill="1" xr:uid="{55145C54-5B84-483D-B1D6-015D9472CA60}">
  <cacheSource type="external" connectionId="4"/>
  <cacheFields count="4">
    <cacheField name="[Xử_lý_tồn_kho_tháng_7].[Danh mục].[Danh mục]" caption="Danh mục" numFmtId="0" hierarchy="12" level="1">
      <sharedItems count="14">
        <s v="APPLE WATCH CŨ"/>
        <s v="ASUS CŨ"/>
        <s v="HONOR CŨ"/>
        <s v="HUAWEI CŨ"/>
        <s v="IPAD CŨ"/>
        <s v="IPHONE CŨ"/>
        <s v="KHÁC CŨ"/>
        <s v="MACBOOK CŨ"/>
        <s v="NOKIA CŨ"/>
        <s v="OPPO CŨ"/>
        <s v="REALME CŨ"/>
        <s v="SAMSUNG CŨ"/>
        <s v="VSMART CŨ"/>
        <s v="XIAOMI CŨ"/>
      </sharedItems>
      <extLst>
        <ext xmlns:x15="http://schemas.microsoft.com/office/spreadsheetml/2010/11/main" uri="{4F2E5C28-24EA-4eb8-9CBF-B6C8F9C3D259}">
          <x15:cachedUniqueNames>
            <x15:cachedUniqueName index="0" name="[Xử_lý_tồn_kho_tháng_7].[Danh mục].&amp;[APPLE WATCH CŨ]"/>
            <x15:cachedUniqueName index="1" name="[Xử_lý_tồn_kho_tháng_7].[Danh mục].&amp;[ASUS CŨ]"/>
            <x15:cachedUniqueName index="2" name="[Xử_lý_tồn_kho_tháng_7].[Danh mục].&amp;[HONOR CŨ]"/>
            <x15:cachedUniqueName index="3" name="[Xử_lý_tồn_kho_tháng_7].[Danh mục].&amp;[HUAWEI CŨ]"/>
            <x15:cachedUniqueName index="4" name="[Xử_lý_tồn_kho_tháng_7].[Danh mục].&amp;[IPAD CŨ]"/>
            <x15:cachedUniqueName index="5" name="[Xử_lý_tồn_kho_tháng_7].[Danh mục].&amp;[IPHONE CŨ]"/>
            <x15:cachedUniqueName index="6" name="[Xử_lý_tồn_kho_tháng_7].[Danh mục].&amp;[KHÁC CŨ]"/>
            <x15:cachedUniqueName index="7" name="[Xử_lý_tồn_kho_tháng_7].[Danh mục].&amp;[MACBOOK CŨ]"/>
            <x15:cachedUniqueName index="8" name="[Xử_lý_tồn_kho_tháng_7].[Danh mục].&amp;[NOKIA CŨ]"/>
            <x15:cachedUniqueName index="9" name="[Xử_lý_tồn_kho_tháng_7].[Danh mục].&amp;[OPPO CŨ]"/>
            <x15:cachedUniqueName index="10" name="[Xử_lý_tồn_kho_tháng_7].[Danh mục].&amp;[REALME CŨ]"/>
            <x15:cachedUniqueName index="11" name="[Xử_lý_tồn_kho_tháng_7].[Danh mục].&amp;[SAMSUNG CŨ]"/>
            <x15:cachedUniqueName index="12" name="[Xử_lý_tồn_kho_tháng_7].[Danh mục].&amp;[VSMART CŨ]"/>
            <x15:cachedUniqueName index="13" name="[Xử_lý_tồn_kho_tháng_7].[Danh mục].&amp;[XIAOMI CŨ]"/>
          </x15:cachedUniqueNames>
        </ext>
      </extLst>
    </cacheField>
    <cacheField name="[Measures].[Tổng Tồn]" caption="Tổng Tồn" numFmtId="0" hierarchy="29" level="32767"/>
    <cacheField name="[Measures].[Tốc độ bán/Ngày]" caption="Tốc độ bán/Ngày" numFmtId="0" hierarchy="30" level="32767"/>
    <cacheField name="[Measures].[Dự báo tồn cuối tháng]" caption="Dự báo tồn cuối tháng" numFmtId="0" hierarchy="32" level="32767"/>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oneField="1">
      <fieldsUsage count="1">
        <fieldUsage x="1"/>
      </fieldsUsage>
    </cacheHierarchy>
    <cacheHierarchy uniqueName="[Measures].[Tốc độ bán/Ngày]" caption="Tốc độ bán/Ngày" measure="1" displayFolder="" measureGroup="Xử_lý_tồn_kho_tháng_7" count="0" oneField="1">
      <fieldsUsage count="1">
        <fieldUsage x="2"/>
      </fieldsUsage>
    </cacheHierarchy>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oneField="1">
      <fieldsUsage count="1">
        <fieldUsage x="3"/>
      </fieldsUsage>
    </cacheHierarchy>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488882060185" createdVersion="5" refreshedVersion="8" minRefreshableVersion="3" recordCount="0" supportSubquery="1" supportAdvancedDrill="1" xr:uid="{43C058A5-7218-4C61-8B98-603D6F443C6D}">
  <cacheSource type="external" connectionId="4"/>
  <cacheFields count="6">
    <cacheField name="[Xử_lý_tồn_kho_tháng_7].[Danh mục].[Danh mục]" caption="Danh mục" numFmtId="0" hierarchy="12" level="1">
      <sharedItems containsSemiMixedTypes="0" containsNonDate="0" containsString="0"/>
    </cacheField>
    <cacheField name="[Xử_lý_tồn_kho_tháng_7].[Tên sản phẩm].[Tên sản phẩm]" caption="Tên sản phẩm" numFmtId="0" hierarchy="13" level="1">
      <sharedItems count="18">
        <s v="APPLE MACBOOK 12 256GB 2015 BẠC CŨ(MF855)"/>
        <s v="APPLE MACBOOK AIR 11 INCH MJVM2 BẠC CŨ"/>
        <s v="APPLE MACBOOK AIR 12 256GB 2015 CŨ"/>
        <s v="APPLE MACBOOK AIR 13 256GB 2020 CHÍNH HÃNG"/>
        <s v="APPLE MACBOOK AIR 13 INCH 128GB MQD32 CŨ"/>
        <s v="APPLE MACBOOK AIR 13 INCH 256GB 2016 MMGG2 CŨ"/>
        <s v="APPLE MACBOOK AIR 13 INCH MJVE2 CŨ"/>
        <s v="APPLE MACBOOK PRO 13 256GB 2019 4 CỔNG BẠC (MV992) CŨ"/>
        <s v="APPLE MACBOOK PRO 13 INCH 128GB 2017 MPXR2 CŨ"/>
        <s v="APPLE MACBOOK PRO 13 INCH 128GB MPXQ2"/>
        <s v="APPLE MACBOOK PRO 13 TOUCH BAR 256GB 2017 BẠC CŨ - ĐẸP (MPXX2)"/>
        <s v="APPLE MACBOOK PRO 13 TOUCH BAR 256GB 2018 XÁM CHÍNH HÃNG (MR9Q2) - ĐÃ KÍCH HOẠT"/>
        <s v="APPLE MACBOOK PRO 13 TOUCH BAR I5 1.4 256GB 2020 XÁM CHÍNH HÃNG (MXK32) - ĐÃ KÍCH HOẠT"/>
        <s v="APPLE MACBOOK PRO 15 INCH MJLQ2 CŨ"/>
        <s v="APPLE MACBOOK PRO 15 INCH MJLT2 CŨ"/>
        <s v="MACBOOK AIR 13 128GB 2019 XÁM (MVFH2)"/>
        <s v="MACBOOK AIR 13 256GB 2019 BẠC (MVFL2) CHÍNH HÃNG"/>
        <s v="MACBOOK PRO 13 256GB 2015 (MF840) CŨ"/>
      </sharedItems>
      <extLst>
        <ext xmlns:x15="http://schemas.microsoft.com/office/spreadsheetml/2010/11/main" uri="{4F2E5C28-24EA-4eb8-9CBF-B6C8F9C3D259}">
          <x15:cachedUniqueNames>
            <x15:cachedUniqueName index="0" name="[Xử_lý_tồn_kho_tháng_7].[Tên sản phẩm].&amp;[APPLE MACBOOK 12 256GB 2015 BẠC CŨ(MF855)]"/>
            <x15:cachedUniqueName index="1" name="[Xử_lý_tồn_kho_tháng_7].[Tên sản phẩm].&amp;[APPLE MACBOOK AIR 11 INCH MJVM2 BẠC CŨ]"/>
            <x15:cachedUniqueName index="2" name="[Xử_lý_tồn_kho_tháng_7].[Tên sản phẩm].&amp;[APPLE MACBOOK AIR 12 256GB 2015 CŨ]"/>
            <x15:cachedUniqueName index="3" name="[Xử_lý_tồn_kho_tháng_7].[Tên sản phẩm].&amp;[APPLE MACBOOK AIR 13 256GB 2020 CHÍNH HÃNG]"/>
            <x15:cachedUniqueName index="4" name="[Xử_lý_tồn_kho_tháng_7].[Tên sản phẩm].&amp;[APPLE MACBOOK AIR 13 INCH 128GB MQD32 CŨ]"/>
            <x15:cachedUniqueName index="5" name="[Xử_lý_tồn_kho_tháng_7].[Tên sản phẩm].&amp;[APPLE MACBOOK AIR 13 INCH 256GB 2016 MMGG2 CŨ]"/>
            <x15:cachedUniqueName index="6" name="[Xử_lý_tồn_kho_tháng_7].[Tên sản phẩm].&amp;[APPLE MACBOOK AIR 13 INCH MJVE2 CŨ]"/>
            <x15:cachedUniqueName index="7" name="[Xử_lý_tồn_kho_tháng_7].[Tên sản phẩm].&amp;[APPLE MACBOOK PRO 13 256GB 2019 4 CỔNG BẠC (MV992) CŨ]"/>
            <x15:cachedUniqueName index="8" name="[Xử_lý_tồn_kho_tháng_7].[Tên sản phẩm].&amp;[APPLE MACBOOK PRO 13 INCH 128GB 2017 MPXR2 CŨ]"/>
            <x15:cachedUniqueName index="9" name="[Xử_lý_tồn_kho_tháng_7].[Tên sản phẩm].&amp;[APPLE MACBOOK PRO 13 INCH 128GB MPXQ2]"/>
            <x15:cachedUniqueName index="10" name="[Xử_lý_tồn_kho_tháng_7].[Tên sản phẩm].&amp;[APPLE MACBOOK PRO 13 TOUCH BAR 256GB 2017 BẠC CŨ - ĐẸP (MPXX2)]"/>
            <x15:cachedUniqueName index="11" name="[Xử_lý_tồn_kho_tháng_7].[Tên sản phẩm].&amp;[APPLE MACBOOK PRO 13 TOUCH BAR 256GB 2018 XÁM CHÍNH HÃNG (MR9Q2) - ĐÃ KÍCH HOẠT]"/>
            <x15:cachedUniqueName index="12" name="[Xử_lý_tồn_kho_tháng_7].[Tên sản phẩm].&amp;[APPLE MACBOOK PRO 13 TOUCH BAR I5 1.4 256GB 2020 XÁM CHÍNH HÃNG (MXK32) - ĐÃ KÍCH HOẠT]"/>
            <x15:cachedUniqueName index="13" name="[Xử_lý_tồn_kho_tháng_7].[Tên sản phẩm].&amp;[APPLE MACBOOK PRO 15 INCH MJLQ2 CŨ]"/>
            <x15:cachedUniqueName index="14" name="[Xử_lý_tồn_kho_tháng_7].[Tên sản phẩm].&amp;[APPLE MACBOOK PRO 15 INCH MJLT2 CŨ]"/>
            <x15:cachedUniqueName index="15" name="[Xử_lý_tồn_kho_tháng_7].[Tên sản phẩm].&amp;[MACBOOK AIR 13 128GB 2019 XÁM (MVFH2)]"/>
            <x15:cachedUniqueName index="16" name="[Xử_lý_tồn_kho_tháng_7].[Tên sản phẩm].&amp;[MACBOOK AIR 13 256GB 2019 BẠC (MVFL2) CHÍNH HÃNG]"/>
            <x15:cachedUniqueName index="17" name="[Xử_lý_tồn_kho_tháng_7].[Tên sản phẩm].&amp;[MACBOOK PRO 13 256GB 2015 (MF840) CŨ]"/>
          </x15:cachedUniqueNames>
        </ext>
      </extLst>
    </cacheField>
    <cacheField name="[Measures].[Tổng Tồn]" caption="Tổng Tồn" numFmtId="0" hierarchy="29" level="32767"/>
    <cacheField name="[Measures].[Tốc độ bán/Ngày]" caption="Tốc độ bán/Ngày" numFmtId="0" hierarchy="30" level="32767"/>
    <cacheField name="[Measures].[Dự báo tồn cuối tháng]" caption="Dự báo tồn cuối tháng" numFmtId="0" hierarchy="32" level="32767"/>
    <cacheField name="[Xử_lý_tồn_kho_tháng_7].[Flag tồn kho].[Flag tồn kho]" caption="Flag tồn kho" numFmtId="0" hierarchy="21" level="1">
      <sharedItems containsSemiMixedTypes="0" containsNonDate="0" containsString="0"/>
    </cacheField>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2" memberValueDatatype="130" unbalanced="0">
      <fieldsUsage count="2">
        <fieldUsage x="-1"/>
        <fieldUsage x="1"/>
      </fieldsUsage>
    </cacheHierarchy>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2" memberValueDatatype="130" unbalanced="0">
      <fieldsUsage count="2">
        <fieldUsage x="-1"/>
        <fieldUsage x="5"/>
      </fieldsUsage>
    </cacheHierarchy>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oneField="1">
      <fieldsUsage count="1">
        <fieldUsage x="2"/>
      </fieldsUsage>
    </cacheHierarchy>
    <cacheHierarchy uniqueName="[Measures].[Tốc độ bán/Ngày]" caption="Tốc độ bán/Ngày" measure="1" displayFolder="" measureGroup="Xử_lý_tồn_kho_tháng_7" count="0" oneField="1">
      <fieldsUsage count="1">
        <fieldUsage x="3"/>
      </fieldsUsage>
    </cacheHierarchy>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oneField="1">
      <fieldsUsage count="1">
        <fieldUsage x="4"/>
      </fieldsUsage>
    </cacheHierarchy>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519062384257" createdVersion="5" refreshedVersion="8" minRefreshableVersion="3" recordCount="0" supportSubquery="1" supportAdvancedDrill="1" xr:uid="{2A50C9EF-7EBE-46E7-A285-8D1687AA69C1}">
  <cacheSource type="external" connectionId="4"/>
  <cacheFields count="3">
    <cacheField name="[Xử_lý_tồn_kho_tháng_7].[Danh mục].[Danh mục]" caption="Danh mục" numFmtId="0" hierarchy="12" level="1">
      <sharedItems count="1">
        <s v="IPHONE CŨ"/>
      </sharedItems>
      <extLst>
        <ext xmlns:x15="http://schemas.microsoft.com/office/spreadsheetml/2010/11/main" uri="{4F2E5C28-24EA-4eb8-9CBF-B6C8F9C3D259}">
          <x15:cachedUniqueNames>
            <x15:cachedUniqueName index="0" name="[Xử_lý_tồn_kho_tháng_7].[Danh mục].&amp;[IPHONE CŨ]"/>
          </x15:cachedUniqueNames>
        </ext>
      </extLst>
    </cacheField>
    <cacheField name="[Measures].[Tổng Tồn]" caption="Tổng Tồn" numFmtId="0" hierarchy="29" level="32767"/>
    <cacheField name="[Measures].[Dự báo tồn cuối tháng]" caption="Dự báo tồn cuối tháng" numFmtId="0" hierarchy="32" level="32767"/>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oneField="1">
      <fieldsUsage count="1">
        <fieldUsage x="1"/>
      </fieldsUsage>
    </cacheHierarchy>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oneField="1">
      <fieldsUsage count="1">
        <fieldUsage x="2"/>
      </fieldsUsage>
    </cacheHierarchy>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542512731481" createdVersion="5" refreshedVersion="8" minRefreshableVersion="3" recordCount="0" supportSubquery="1" supportAdvancedDrill="1" xr:uid="{69919E77-4938-4D5E-BF59-2DEDA71D6605}">
  <cacheSource type="external" connectionId="4"/>
  <cacheFields count="5">
    <cacheField name="[Xử_lý_tồn_kho_tháng_7].[Danh mục].[Danh mục]" caption="Danh mục" numFmtId="0" hierarchy="12" level="1">
      <sharedItems containsSemiMixedTypes="0" containsNonDate="0" containsString="0"/>
    </cacheField>
    <cacheField name="[Xử_lý_tồn_kho_tháng_7].[Tên sản phẩm].[Tên sản phẩm]" caption="Tên sản phẩm" numFmtId="0" hierarchy="13" level="1">
      <sharedItems count="11">
        <s v="APPLE IPHONE 6S 32GB"/>
        <s v="APPLE IPHONE 6S 32GB HỒNG - ĐỔI BẢO HÀNH"/>
        <s v="APPLE IPHONE 6S 32GB VÀNG - ĐỔI BẢO HÀNH"/>
        <s v="APPLE IPHONE 6S 32GB XÁM - ĐỔI BẢO HÀNH"/>
        <s v="APPLE IPHONE 8 64GB VÀNG - ĐỔI BẢO HÀNH"/>
        <s v="APPLE IPHONE 8 64GB VÀNG CŨ - ĐẸP"/>
        <s v="APPLE IPHONE X 256GB"/>
        <s v="APPLE IPHONE XR 64GB CŨ"/>
        <s v="APPLE IPHONE XS 64GB CŨ"/>
        <s v="APPLE IPHONE XS MAX 64GB CŨ"/>
        <s v="NOKIA 2.3" u="1"/>
      </sharedItems>
      <extLst>
        <ext xmlns:x15="http://schemas.microsoft.com/office/spreadsheetml/2010/11/main" uri="{4F2E5C28-24EA-4eb8-9CBF-B6C8F9C3D259}">
          <x15:cachedUniqueNames>
            <x15:cachedUniqueName index="0" name="[Xử_lý_tồn_kho_tháng_7].[Tên sản phẩm].&amp;[APPLE IPHONE 6S 32GB]"/>
            <x15:cachedUniqueName index="1" name="[Xử_lý_tồn_kho_tháng_7].[Tên sản phẩm].&amp;[APPLE IPHONE 6S 32GB HỒNG - ĐỔI BẢO HÀNH]"/>
            <x15:cachedUniqueName index="2" name="[Xử_lý_tồn_kho_tháng_7].[Tên sản phẩm].&amp;[APPLE IPHONE 6S 32GB VÀNG - ĐỔI BẢO HÀNH]"/>
            <x15:cachedUniqueName index="3" name="[Xử_lý_tồn_kho_tháng_7].[Tên sản phẩm].&amp;[APPLE IPHONE 6S 32GB XÁM - ĐỔI BẢO HÀNH]"/>
            <x15:cachedUniqueName index="4" name="[Xử_lý_tồn_kho_tháng_7].[Tên sản phẩm].&amp;[APPLE IPHONE 8 64GB VÀNG - ĐỔI BẢO HÀNH]"/>
            <x15:cachedUniqueName index="5" name="[Xử_lý_tồn_kho_tháng_7].[Tên sản phẩm].&amp;[APPLE IPHONE 8 64GB VÀNG CŨ - ĐẸP]"/>
            <x15:cachedUniqueName index="6" name="[Xử_lý_tồn_kho_tháng_7].[Tên sản phẩm].&amp;[APPLE IPHONE X 256GB]"/>
            <x15:cachedUniqueName index="7" name="[Xử_lý_tồn_kho_tháng_7].[Tên sản phẩm].&amp;[APPLE IPHONE XR 64GB CŨ]"/>
            <x15:cachedUniqueName index="8" name="[Xử_lý_tồn_kho_tháng_7].[Tên sản phẩm].&amp;[APPLE IPHONE XS 64GB CŨ]"/>
            <x15:cachedUniqueName index="9" name="[Xử_lý_tồn_kho_tháng_7].[Tên sản phẩm].&amp;[APPLE IPHONE XS MAX 64GB CŨ]"/>
            <x15:cachedUniqueName index="10" name="[Xử_lý_tồn_kho_tháng_7].[Tên sản phẩm].&amp;[NOKIA 2.3]"/>
          </x15:cachedUniqueNames>
        </ext>
      </extLst>
    </cacheField>
    <cacheField name="[Measures].[Tổng Tồn]" caption="Tổng Tồn" numFmtId="0" hierarchy="29" level="32767"/>
    <cacheField name="[Measures].[Dự báo tồn cuối tháng]" caption="Dự báo tồn cuối tháng" numFmtId="0" hierarchy="32" level="32767"/>
    <cacheField name="[Xử_lý_tồn_kho_tháng_7].[Flag tồn kho].[Flag tồn kho]" caption="Flag tồn kho" numFmtId="0" hierarchy="21" level="1">
      <sharedItems containsSemiMixedTypes="0" containsNonDate="0" containsString="0"/>
    </cacheField>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2" memberValueDatatype="130" unbalanced="0">
      <fieldsUsage count="2">
        <fieldUsage x="-1"/>
        <fieldUsage x="1"/>
      </fieldsUsage>
    </cacheHierarchy>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2" memberValueDatatype="130" unbalanced="0">
      <fieldsUsage count="2">
        <fieldUsage x="-1"/>
        <fieldUsage x="4"/>
      </fieldsUsage>
    </cacheHierarchy>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oneField="1">
      <fieldsUsage count="1">
        <fieldUsage x="2"/>
      </fieldsUsage>
    </cacheHierarchy>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oneField="1">
      <fieldsUsage count="1">
        <fieldUsage x="3"/>
      </fieldsUsage>
    </cacheHierarchy>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546900462963" createdVersion="5" refreshedVersion="8" minRefreshableVersion="3" recordCount="0" supportSubquery="1" supportAdvancedDrill="1" xr:uid="{14021D18-8C88-403C-8D35-F95CA5FB0335}">
  <cacheSource type="external" connectionId="4"/>
  <cacheFields count="4">
    <cacheField name="[Xử_lý_tồn_kho_tháng_7].[Danh mục].[Danh mục]" caption="Danh mục" numFmtId="0" hierarchy="12" level="1">
      <sharedItems containsSemiMixedTypes="0" containsNonDate="0" containsString="0"/>
    </cacheField>
    <cacheField name="[Xử_lý_tồn_kho_tháng_7].[Tên sản phẩm].[Tên sản phẩm]" caption="Tên sản phẩm" numFmtId="0" hierarchy="13" level="1">
      <sharedItems count="10">
        <s v="APPLE IPHONE 7 PLUS 128GB CŨ"/>
        <s v="APPLE IPHONE 7 PLUS 32GB ĐEN CŨ - ĐẸP"/>
        <s v="APPLE IPHONE 7 PLUS 32GB HỒNG CŨ - ĐẸP"/>
        <s v="APPLE IPHONE SE 32GB BẠC CŨ - ĐẸP"/>
        <s v="APPLE IPHONE X 64GB BẠC - ĐỔI BẢO HÀNH"/>
        <s v="APPLE IPHONE XS 64GB CŨ"/>
        <s v="APPLE IPHONE XS MAX 64GB CŨ"/>
        <s v="IPHONE 11 PRO MAX 64GB CŨ"/>
        <s v="SAMSUNG GALAXY A80"/>
        <s v="SAMSUNG GALAXY S20+ (PLUS)"/>
      </sharedItems>
      <extLst>
        <ext xmlns:x15="http://schemas.microsoft.com/office/spreadsheetml/2010/11/main" uri="{4F2E5C28-24EA-4eb8-9CBF-B6C8F9C3D259}">
          <x15:cachedUniqueNames>
            <x15:cachedUniqueName index="0" name="[Xử_lý_tồn_kho_tháng_7].[Tên sản phẩm].&amp;[APPLE IPHONE 7 PLUS 128GB CŨ]"/>
            <x15:cachedUniqueName index="1" name="[Xử_lý_tồn_kho_tháng_7].[Tên sản phẩm].&amp;[APPLE IPHONE 7 PLUS 32GB ĐEN CŨ - ĐẸP]"/>
            <x15:cachedUniqueName index="2" name="[Xử_lý_tồn_kho_tháng_7].[Tên sản phẩm].&amp;[APPLE IPHONE 7 PLUS 32GB HỒNG CŨ - ĐẸP]"/>
            <x15:cachedUniqueName index="3" name="[Xử_lý_tồn_kho_tháng_7].[Tên sản phẩm].&amp;[APPLE IPHONE SE 32GB BẠC CŨ - ĐẸP]"/>
            <x15:cachedUniqueName index="4" name="[Xử_lý_tồn_kho_tháng_7].[Tên sản phẩm].&amp;[APPLE IPHONE X 64GB BẠC - ĐỔI BẢO HÀNH]"/>
            <x15:cachedUniqueName index="5" name="[Xử_lý_tồn_kho_tháng_7].[Tên sản phẩm].&amp;[APPLE IPHONE XS 64GB CŨ]"/>
            <x15:cachedUniqueName index="6" name="[Xử_lý_tồn_kho_tháng_7].[Tên sản phẩm].&amp;[APPLE IPHONE XS MAX 64GB CŨ]"/>
            <x15:cachedUniqueName index="7" name="[Xử_lý_tồn_kho_tháng_7].[Tên sản phẩm].&amp;[IPHONE 11 PRO MAX 64GB CŨ]"/>
            <x15:cachedUniqueName index="8" name="[Xử_lý_tồn_kho_tháng_7].[Tên sản phẩm].&amp;[SAMSUNG GALAXY A80]"/>
            <x15:cachedUniqueName index="9" name="[Xử_lý_tồn_kho_tháng_7].[Tên sản phẩm].&amp;[SAMSUNG GALAXY S20+ (PLUS)]"/>
          </x15:cachedUniqueNames>
        </ext>
      </extLst>
    </cacheField>
    <cacheField name="[Measures].[Dự báo tồn cuối tháng]" caption="Dự báo tồn cuối tháng" numFmtId="0" hierarchy="32" level="32767"/>
    <cacheField name="[Xử_lý_tồn_kho_tháng_7].[Flag tồn kho].[Flag tồn kho]" caption="Flag tồn kho" numFmtId="0" hierarchy="21" level="1">
      <sharedItems containsSemiMixedTypes="0" containsNonDate="0" containsString="0"/>
    </cacheField>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2" memberValueDatatype="130" unbalanced="0">
      <fieldsUsage count="2">
        <fieldUsage x="-1"/>
        <fieldUsage x="1"/>
      </fieldsUsage>
    </cacheHierarchy>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2" memberValueDatatype="130" unbalanced="0">
      <fieldsUsage count="2">
        <fieldUsage x="-1"/>
        <fieldUsage x="3"/>
      </fieldsUsage>
    </cacheHierarchy>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oneField="1">
      <fieldsUsage count="1">
        <fieldUsage x="2"/>
      </fieldsUsage>
    </cacheHierarchy>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13128935188" createdVersion="5" refreshedVersion="8" minRefreshableVersion="3" recordCount="0" supportSubquery="1" supportAdvancedDrill="1" xr:uid="{49ACDB3D-7935-4071-A7AF-EC1B1EF3BF15}">
  <cacheSource type="external" connectionId="4"/>
  <cacheFields count="4">
    <cacheField name="[Xử_lý_tồn_kho_tháng_7].[Danh mục].[Danh mục]" caption="Danh mục" numFmtId="0" hierarchy="12" level="1">
      <sharedItems containsSemiMixedTypes="0" containsNonDate="0" containsString="0"/>
    </cacheField>
    <cacheField name="[Xử_lý_tồn_kho_tháng_7].[Tên sản phẩm].[Tên sản phẩm]" caption="Tên sản phẩm" numFmtId="0" hierarchy="13" level="1">
      <sharedItems count="10">
        <s v="APPLE IPAD 10.2 2019 WI-FI 32GB CHÍNH HÃNG"/>
        <s v="APPLE IPHONE 6S 32GB HỒNG - ĐỔI BẢO HÀNH"/>
        <s v="APPLE IPHONE 7 32GB ĐEN CŨ - ĐẸP"/>
        <s v="APPLE IPHONE 7 PLUS 128GB CŨ"/>
        <s v="APPLE IPHONE 8 64GB VÀNG CŨ - ĐẸP"/>
        <s v="APPLE IPHONE XR 64GB CŨ"/>
        <s v="APPLE IPHONE XS 64GB CŨ"/>
        <s v="APPLE IPHONE XS MAX 256GB CŨ"/>
        <s v="APPLE IPHONE XS MAX 64GB CŨ"/>
        <s v="IPHONE 11 128GB CŨ"/>
      </sharedItems>
      <extLst>
        <ext xmlns:x15="http://schemas.microsoft.com/office/spreadsheetml/2010/11/main" uri="{4F2E5C28-24EA-4eb8-9CBF-B6C8F9C3D259}">
          <x15:cachedUniqueNames>
            <x15:cachedUniqueName index="0" name="[Xử_lý_tồn_kho_tháng_7].[Tên sản phẩm].&amp;[APPLE IPAD 10.2 2019 WI-FI 32GB CHÍNH HÃNG]"/>
            <x15:cachedUniqueName index="1" name="[Xử_lý_tồn_kho_tháng_7].[Tên sản phẩm].&amp;[APPLE IPHONE 6S 32GB HỒNG - ĐỔI BẢO HÀNH]"/>
            <x15:cachedUniqueName index="2" name="[Xử_lý_tồn_kho_tháng_7].[Tên sản phẩm].&amp;[APPLE IPHONE 7 32GB ĐEN CŨ - ĐẸP]"/>
            <x15:cachedUniqueName index="3" name="[Xử_lý_tồn_kho_tháng_7].[Tên sản phẩm].&amp;[APPLE IPHONE 7 PLUS 128GB CŨ]"/>
            <x15:cachedUniqueName index="4" name="[Xử_lý_tồn_kho_tháng_7].[Tên sản phẩm].&amp;[APPLE IPHONE 8 64GB VÀNG CŨ - ĐẸP]"/>
            <x15:cachedUniqueName index="5" name="[Xử_lý_tồn_kho_tháng_7].[Tên sản phẩm].&amp;[APPLE IPHONE XR 64GB CŨ]"/>
            <x15:cachedUniqueName index="6" name="[Xử_lý_tồn_kho_tháng_7].[Tên sản phẩm].&amp;[APPLE IPHONE XS 64GB CŨ]"/>
            <x15:cachedUniqueName index="7" name="[Xử_lý_tồn_kho_tháng_7].[Tên sản phẩm].&amp;[APPLE IPHONE XS MAX 256GB CŨ]"/>
            <x15:cachedUniqueName index="8" name="[Xử_lý_tồn_kho_tháng_7].[Tên sản phẩm].&amp;[APPLE IPHONE XS MAX 64GB CŨ]"/>
            <x15:cachedUniqueName index="9" name="[Xử_lý_tồn_kho_tháng_7].[Tên sản phẩm].&amp;[IPHONE 11 128GB CŨ]"/>
          </x15:cachedUniqueNames>
        </ext>
      </extLst>
    </cacheField>
    <cacheField name="[Xử_lý_tồn_kho_tháng_7].[Flag tồn kho].[Flag tồn kho]" caption="Flag tồn kho" numFmtId="0" hierarchy="21" level="1">
      <sharedItems containsSemiMixedTypes="0" containsNonDate="0" containsString="0"/>
    </cacheField>
    <cacheField name="[Measures].[Tốc độ bán/Ngày]" caption="Tốc độ bán/Ngày" numFmtId="0" hierarchy="30" level="32767"/>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2" memberValueDatatype="130" unbalanced="0">
      <fieldsUsage count="2">
        <fieldUsage x="-1"/>
        <fieldUsage x="1"/>
      </fieldsUsage>
    </cacheHierarchy>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2" memberValueDatatype="130" unbalanced="0">
      <fieldsUsage count="2">
        <fieldUsage x="-1"/>
        <fieldUsage x="2"/>
      </fieldsUsage>
    </cacheHierarchy>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oneField="1">
      <fieldsUsage count="1">
        <fieldUsage x="3"/>
      </fieldsUsage>
    </cacheHierarchy>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18030439812" createdVersion="5" refreshedVersion="8" minRefreshableVersion="3" recordCount="0" supportSubquery="1" supportAdvancedDrill="1" xr:uid="{E90C211E-6607-4300-984C-3AA2547288A0}">
  <cacheSource type="external" connectionId="4"/>
  <cacheFields count="5">
    <cacheField name="[Measures].[Tổng Doanh Số]" caption="Tổng Doanh Số" numFmtId="0" hierarchy="22" level="32767"/>
    <cacheField name="[Measures].[Tổng Target]" caption="Tổng Target" numFmtId="0" hierarchy="23" level="32767"/>
    <cacheField name="[Measures].[% Đạt Target]" caption="% Đạt Target" numFmtId="0" hierarchy="24" level="32767"/>
    <cacheField name="[Dim_ThoiGian].[Tháng].[Tháng]" caption="Tháng" numFmtId="0" hierarchy="2" level="1">
      <sharedItems count="3">
        <s v="Tháng 4"/>
        <s v="Tháng 5"/>
        <s v="Tháng 6"/>
      </sharedItems>
      <extLst>
        <ext xmlns:x15="http://schemas.microsoft.com/office/spreadsheetml/2010/11/main" uri="{4F2E5C28-24EA-4eb8-9CBF-B6C8F9C3D259}">
          <x15:cachedUniqueNames>
            <x15:cachedUniqueName index="0" name="[Dim_ThoiGian].[Tháng].&amp;[Tháng 4]"/>
            <x15:cachedUniqueName index="1" name="[Dim_ThoiGian].[Tháng].&amp;[Tháng 5]"/>
            <x15:cachedUniqueName index="2" name="[Dim_ThoiGian].[Tháng].&amp;[Tháng 6]"/>
          </x15:cachedUniqueNames>
        </ext>
      </extLst>
    </cacheField>
    <cacheField name="[Dim_NganhHang].[PIC].[PIC]" caption="PIC" numFmtId="0" level="1">
      <sharedItems containsSemiMixedTypes="0" containsNonDate="0" containsString="0"/>
    </cacheField>
  </cacheFields>
  <cacheHierarchies count="42">
    <cacheHierarchy uniqueName="[Dim_NganhHang].[PIC]" caption="PIC" attribute="1" defaultMemberUniqueName="[Dim_NganhHang].[PIC].[All]" allUniqueName="[Dim_NganhHang].[PIC].[All]" dimensionUniqueName="[Dim_NganhHang]" displayFolder="" count="2" memberValueDatatype="130" unbalanced="0">
      <fieldsUsage count="2">
        <fieldUsage x="-1"/>
        <fieldUsage x="4"/>
      </fieldsUsage>
    </cacheHierarchy>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2" memberValueDatatype="130" unbalanced="0">
      <fieldsUsage count="2">
        <fieldUsage x="-1"/>
        <fieldUsage x="3"/>
      </fieldsUsage>
    </cacheHierarchy>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0" memberValueDatatype="130" unbalanced="0"/>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oneField="1">
      <fieldsUsage count="1">
        <fieldUsage x="0"/>
      </fieldsUsage>
    </cacheHierarchy>
    <cacheHierarchy uniqueName="[Measures].[Tổng Target]" caption="Tổng Target" measure="1" displayFolder="" measureGroup="Xử lý Doanh số" count="0" oneField="1">
      <fieldsUsage count="1">
        <fieldUsage x="1"/>
      </fieldsUsage>
    </cacheHierarchy>
    <cacheHierarchy uniqueName="[Measures].[% Đạt Target]" caption="% Đạt Target" measure="1" displayFolder="" measureGroup="Xử lý Doanh số" count="0" oneField="1">
      <fieldsUsage count="1">
        <fieldUsage x="2"/>
      </fieldsUsage>
    </cacheHierarchy>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1803101852" createdVersion="5" refreshedVersion="8" minRefreshableVersion="3" recordCount="0" supportSubquery="1" supportAdvancedDrill="1" xr:uid="{7E8B5A6D-BAE0-4FAC-B3BA-2A8BBD07DC7F}">
  <cacheSource type="external" connectionId="4"/>
  <cacheFields count="7">
    <cacheField name="[Measures].[Tổng Doanh Số]" caption="Tổng Doanh Số" numFmtId="0" hierarchy="22" level="32767"/>
    <cacheField name="[Measures].[Tổng Target]" caption="Tổng Target" numFmtId="0" hierarchy="23" level="32767"/>
    <cacheField name="[Measures].[% Đạt Target]" caption="% Đạt Target" numFmtId="0" hierarchy="24" level="32767"/>
    <cacheField name="[Dim_NganhHang].[Ngành hàng].[Ngành hàng]" caption="Ngành hàng" numFmtId="0" hierarchy="1" level="1">
      <sharedItems count="14">
        <s v="NOKIA CŨ"/>
        <s v="OPPO CŨ"/>
        <s v="REALME CŨ"/>
        <s v="ASUS CŨ"/>
        <s v="HONOR CŨ"/>
        <s v="HUAWEI CŨ"/>
        <s v="KHÁC CŨ"/>
        <s v="APPLE WATCH CŨ"/>
        <s v="IPAD CŨ"/>
        <s v="IPHONE CŨ"/>
        <s v="MACBOOK CŨ"/>
        <s v="SAMSUNG CŨ"/>
        <s v="VSMART CŨ"/>
        <s v="XIAOMI CŨ"/>
      </sharedItems>
      <extLst>
        <ext xmlns:x15="http://schemas.microsoft.com/office/spreadsheetml/2010/11/main" uri="{4F2E5C28-24EA-4eb8-9CBF-B6C8F9C3D259}">
          <x15:cachedUniqueNames>
            <x15:cachedUniqueName index="0" name="[Dim_NganhHang].[Ngành hàng].&amp;[NOKIA CŨ]"/>
            <x15:cachedUniqueName index="1" name="[Dim_NganhHang].[Ngành hàng].&amp;[OPPO CŨ]"/>
            <x15:cachedUniqueName index="2" name="[Dim_NganhHang].[Ngành hàng].&amp;[REALME CŨ]"/>
            <x15:cachedUniqueName index="3" name="[Dim_NganhHang].[Ngành hàng].&amp;[ASUS CŨ]"/>
            <x15:cachedUniqueName index="4" name="[Dim_NganhHang].[Ngành hàng].&amp;[HONOR CŨ]"/>
            <x15:cachedUniqueName index="5" name="[Dim_NganhHang].[Ngành hàng].&amp;[HUAWEI CŨ]"/>
            <x15:cachedUniqueName index="6" name="[Dim_NganhHang].[Ngành hàng].&amp;[KHÁC CŨ]"/>
            <x15:cachedUniqueName index="7" name="[Dim_NganhHang].[Ngành hàng].&amp;[APPLE WATCH CŨ]"/>
            <x15:cachedUniqueName index="8" name="[Dim_NganhHang].[Ngành hàng].&amp;[IPAD CŨ]"/>
            <x15:cachedUniqueName index="9" name="[Dim_NganhHang].[Ngành hàng].&amp;[IPHONE CŨ]"/>
            <x15:cachedUniqueName index="10" name="[Dim_NganhHang].[Ngành hàng].&amp;[MACBOOK CŨ]"/>
            <x15:cachedUniqueName index="11" name="[Dim_NganhHang].[Ngành hàng].&amp;[SAMSUNG CŨ]"/>
            <x15:cachedUniqueName index="12" name="[Dim_NganhHang].[Ngành hàng].&amp;[VSMART CŨ]"/>
            <x15:cachedUniqueName index="13" name="[Dim_NganhHang].[Ngành hàng].&amp;[XIAOMI CŨ]"/>
          </x15:cachedUniqueNames>
        </ext>
      </extLst>
    </cacheField>
    <cacheField name="[Dim_ThoiGian].[Tháng].[Tháng]" caption="Tháng" numFmtId="0" hierarchy="2" level="1">
      <sharedItems containsSemiMixedTypes="0" containsNonDate="0" containsString="0"/>
    </cacheField>
    <cacheField name="[Dim_NganhHang].[PIC].[PIC]" caption="PIC" numFmtId="0" level="1">
      <sharedItems count="4">
        <s v="LAN"/>
        <s v="MINH"/>
        <s v="NAM"/>
        <s v="SANG"/>
      </sharedItems>
      <extLst>
        <ext xmlns:x15="http://schemas.microsoft.com/office/spreadsheetml/2010/11/main" uri="{4F2E5C28-24EA-4eb8-9CBF-B6C8F9C3D259}">
          <x15:cachedUniqueNames>
            <x15:cachedUniqueName index="0" name="[Dim_NganhHang].[PIC].&amp;[LAN]"/>
            <x15:cachedUniqueName index="1" name="[Dim_NganhHang].[PIC].&amp;[MINH]"/>
            <x15:cachedUniqueName index="2" name="[Dim_NganhHang].[PIC].&amp;[NAM]"/>
            <x15:cachedUniqueName index="3" name="[Dim_NganhHang].[PIC].&amp;[SANG]"/>
          </x15:cachedUniqueNames>
        </ext>
      </extLst>
    </cacheField>
    <cacheField name="[Measures].[Xếp Loại]" caption="Xếp Loại" numFmtId="0" hierarchy="25" level="32767"/>
  </cacheFields>
  <cacheHierarchies count="42">
    <cacheHierarchy uniqueName="[Dim_NganhHang].[PIC]" caption="PIC" attribute="1" defaultMemberUniqueName="[Dim_NganhHang].[PIC].[All]" allUniqueName="[Dim_NganhHang].[PIC].[All]" dimensionUniqueName="[Dim_NganhHang]" displayFolder="" count="2" memberValueDatatype="130" unbalanced="0">
      <fieldsUsage count="2">
        <fieldUsage x="-1"/>
        <fieldUsage x="5"/>
      </fieldsUsage>
    </cacheHierarchy>
    <cacheHierarchy uniqueName="[Dim_NganhHang].[Ngành hàng]" caption="Ngành hàng" attribute="1" defaultMemberUniqueName="[Dim_NganhHang].[Ngành hàng].[All]" allUniqueName="[Dim_NganhHang].[Ngành hàng].[All]" dimensionUniqueName="[Dim_NganhHang]" displayFolder="" count="2" memberValueDatatype="130" unbalanced="0">
      <fieldsUsage count="2">
        <fieldUsage x="-1"/>
        <fieldUsage x="3"/>
      </fieldsUsage>
    </cacheHierarchy>
    <cacheHierarchy uniqueName="[Dim_ThoiGian].[Tháng]" caption="Tháng" attribute="1" defaultMemberUniqueName="[Dim_ThoiGian].[Tháng].[All]" allUniqueName="[Dim_ThoiGian].[Tháng].[All]" dimensionUniqueName="[Dim_ThoiGian]" displayFolder="" count="2" memberValueDatatype="130" unbalanced="0">
      <fieldsUsage count="2">
        <fieldUsage x="-1"/>
        <fieldUsage x="4"/>
      </fieldsUsage>
    </cacheHierarchy>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0" memberValueDatatype="130" unbalanced="0"/>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oneField="1">
      <fieldsUsage count="1">
        <fieldUsage x="0"/>
      </fieldsUsage>
    </cacheHierarchy>
    <cacheHierarchy uniqueName="[Measures].[Tổng Target]" caption="Tổng Target" measure="1" displayFolder="" measureGroup="Xử lý Doanh số" count="0" oneField="1">
      <fieldsUsage count="1">
        <fieldUsage x="1"/>
      </fieldsUsage>
    </cacheHierarchy>
    <cacheHierarchy uniqueName="[Measures].[% Đạt Target]" caption="% Đạt Target" measure="1" displayFolder="" measureGroup="Xử lý Doanh số" count="0" oneField="1">
      <fieldsUsage count="1">
        <fieldUsage x="2"/>
      </fieldsUsage>
    </cacheHierarchy>
    <cacheHierarchy uniqueName="[Measures].[Xếp Loại]" caption="Xếp Loại" measure="1" displayFolder="" measureGroup="Xử lý Doanh số" count="0" oneField="1">
      <fieldsUsage count="1">
        <fieldUsage x="6"/>
      </fieldsUsage>
    </cacheHierarchy>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1803159722" createdVersion="5" refreshedVersion="8" minRefreshableVersion="3" recordCount="0" supportSubquery="1" supportAdvancedDrill="1" xr:uid="{DEE149D5-24DE-432E-A4C2-93DF60F7D174}">
  <cacheSource type="external" connectionId="4"/>
  <cacheFields count="7">
    <cacheField name="[Dim_ThoiGian].[Tháng].[Tháng]" caption="Tháng" numFmtId="0" hierarchy="2" level="1">
      <sharedItems containsSemiMixedTypes="0" containsNonDate="0" containsString="0"/>
    </cacheField>
    <cacheField name="[Dim_NganhHang].[Ngành hàng].[Ngành hàng]" caption="Ngành hàng" numFmtId="0" hierarchy="1" level="1">
      <sharedItems count="14">
        <s v="APPLE WATCH CŨ"/>
        <s v="ASUS CŨ"/>
        <s v="HONOR CŨ"/>
        <s v="HUAWEI CŨ"/>
        <s v="IPAD CŨ"/>
        <s v="IPHONE CŨ"/>
        <s v="KHÁC CŨ"/>
        <s v="MACBOOK CŨ"/>
        <s v="NOKIA CŨ"/>
        <s v="OPPO CŨ"/>
        <s v="REALME CŨ"/>
        <s v="SAMSUNG CŨ"/>
        <s v="VSMART CŨ"/>
        <s v="XIAOMI CŨ"/>
      </sharedItems>
      <extLst>
        <ext xmlns:x15="http://schemas.microsoft.com/office/spreadsheetml/2010/11/main" uri="{4F2E5C28-24EA-4eb8-9CBF-B6C8F9C3D259}">
          <x15:cachedUniqueNames>
            <x15:cachedUniqueName index="0" name="[Dim_NganhHang].[Ngành hàng].&amp;[APPLE WATCH CŨ]"/>
            <x15:cachedUniqueName index="1" name="[Dim_NganhHang].[Ngành hàng].&amp;[ASUS CŨ]"/>
            <x15:cachedUniqueName index="2" name="[Dim_NganhHang].[Ngành hàng].&amp;[HONOR CŨ]"/>
            <x15:cachedUniqueName index="3" name="[Dim_NganhHang].[Ngành hàng].&amp;[HUAWEI CŨ]"/>
            <x15:cachedUniqueName index="4" name="[Dim_NganhHang].[Ngành hàng].&amp;[IPAD CŨ]"/>
            <x15:cachedUniqueName index="5" name="[Dim_NganhHang].[Ngành hàng].&amp;[IPHONE CŨ]"/>
            <x15:cachedUniqueName index="6" name="[Dim_NganhHang].[Ngành hàng].&amp;[KHÁC CŨ]"/>
            <x15:cachedUniqueName index="7" name="[Dim_NganhHang].[Ngành hàng].&amp;[MACBOOK CŨ]"/>
            <x15:cachedUniqueName index="8" name="[Dim_NganhHang].[Ngành hàng].&amp;[NOKIA CŨ]"/>
            <x15:cachedUniqueName index="9" name="[Dim_NganhHang].[Ngành hàng].&amp;[OPPO CŨ]"/>
            <x15:cachedUniqueName index="10" name="[Dim_NganhHang].[Ngành hàng].&amp;[REALME CŨ]"/>
            <x15:cachedUniqueName index="11" name="[Dim_NganhHang].[Ngành hàng].&amp;[SAMSUNG CŨ]"/>
            <x15:cachedUniqueName index="12" name="[Dim_NganhHang].[Ngành hàng].&amp;[VSMART CŨ]"/>
            <x15:cachedUniqueName index="13" name="[Dim_NganhHang].[Ngành hàng].&amp;[XIAOMI CŨ]"/>
          </x15:cachedUniqueNames>
        </ext>
      </extLst>
    </cacheField>
    <cacheField name="[Measures].[Vượt]" caption="Vượt" numFmtId="0" hierarchy="26" level="32767"/>
    <cacheField name="[Measures].[Đạt]" caption="Đạt" numFmtId="0" hierarchy="27" level="32767"/>
    <cacheField name="[Measures].[Không Đạt]" caption="Không Đạt" numFmtId="0" hierarchy="28" level="32767"/>
    <cacheField name="[Measures].[% Đạt Target]" caption="% Đạt Target" numFmtId="0" hierarchy="24" level="32767"/>
    <cacheField name="[Dim_NganhHang].[PIC].[PIC]" caption="PIC" numFmtId="0" level="1">
      <sharedItems containsSemiMixedTypes="0" containsNonDate="0" containsString="0"/>
    </cacheField>
  </cacheFields>
  <cacheHierarchies count="42">
    <cacheHierarchy uniqueName="[Dim_NganhHang].[PIC]" caption="PIC" attribute="1" defaultMemberUniqueName="[Dim_NganhHang].[PIC].[All]" allUniqueName="[Dim_NganhHang].[PIC].[All]" dimensionUniqueName="[Dim_NganhHang]" displayFolder="" count="2" memberValueDatatype="130" unbalanced="0">
      <fieldsUsage count="2">
        <fieldUsage x="-1"/>
        <fieldUsage x="6"/>
      </fieldsUsage>
    </cacheHierarchy>
    <cacheHierarchy uniqueName="[Dim_NganhHang].[Ngành hàng]" caption="Ngành hàng" attribute="1" defaultMemberUniqueName="[Dim_NganhHang].[Ngành hàng].[All]" allUniqueName="[Dim_NganhHang].[Ngành hàng].[All]" dimensionUniqueName="[Dim_NganhHang]" displayFolder="" count="2" memberValueDatatype="130" unbalanced="0">
      <fieldsUsage count="2">
        <fieldUsage x="-1"/>
        <fieldUsage x="1"/>
      </fieldsUsage>
    </cacheHierarchy>
    <cacheHierarchy uniqueName="[Dim_ThoiGian].[Tháng]" caption="Tháng" attribute="1" defaultMemberUniqueName="[Dim_ThoiGian].[Tháng].[All]" allUniqueName="[Dim_ThoiGian].[Tháng].[All]" dimensionUniqueName="[Dim_ThoiGian]" displayFolder="" count="2" memberValueDatatype="130" unbalanced="0">
      <fieldsUsage count="2">
        <fieldUsage x="-1"/>
        <fieldUsage x="0"/>
      </fieldsUsage>
    </cacheHierarchy>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0" memberValueDatatype="130" unbalanced="0"/>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oneField="1">
      <fieldsUsage count="1">
        <fieldUsage x="5"/>
      </fieldsUsage>
    </cacheHierarchy>
    <cacheHierarchy uniqueName="[Measures].[Xếp Loại]" caption="Xếp Loại" measure="1" displayFolder="" measureGroup="Xử lý Doanh số" count="0"/>
    <cacheHierarchy uniqueName="[Measures].[Vượt]" caption="Vượt" measure="1" displayFolder="" measureGroup="Xử lý Doanh số" count="0" oneField="1">
      <fieldsUsage count="1">
        <fieldUsage x="2"/>
      </fieldsUsage>
    </cacheHierarchy>
    <cacheHierarchy uniqueName="[Measures].[Đạt]" caption="Đạt" measure="1" displayFolder="" measureGroup="Xử lý Doanh số" count="0" oneField="1">
      <fieldsUsage count="1">
        <fieldUsage x="3"/>
      </fieldsUsage>
    </cacheHierarchy>
    <cacheHierarchy uniqueName="[Measures].[Không Đạt]" caption="Không Đạt" measure="1" displayFolder="" measureGroup="Xử lý Doanh số" count="0" oneField="1">
      <fieldsUsage count="1">
        <fieldUsage x="4"/>
      </fieldsUsage>
    </cacheHierarchy>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18032060182" createdVersion="5" refreshedVersion="8" minRefreshableVersion="3" recordCount="0" supportSubquery="1" supportAdvancedDrill="1" xr:uid="{7602C022-EC74-4400-B67C-C43133D7A71D}">
  <cacheSource type="external" connectionId="4"/>
  <cacheFields count="7">
    <cacheField name="[Dim_ThoiGian].[Tháng].[Tháng]" caption="Tháng" numFmtId="0" hierarchy="2" level="1">
      <sharedItems containsSemiMixedTypes="0" containsNonDate="0" containsString="0"/>
    </cacheField>
    <cacheField name="[Dim_NganhHang].[Ngành hàng].[Ngành hàng]" caption="Ngành hàng" numFmtId="0" hierarchy="1" level="1">
      <sharedItems count="14">
        <s v="APPLE WATCH CŨ"/>
        <s v="ASUS CŨ"/>
        <s v="HONOR CŨ"/>
        <s v="HUAWEI CŨ"/>
        <s v="IPAD CŨ"/>
        <s v="IPHONE CŨ"/>
        <s v="KHÁC CŨ"/>
        <s v="MACBOOK CŨ"/>
        <s v="NOKIA CŨ"/>
        <s v="OPPO CŨ"/>
        <s v="REALME CŨ"/>
        <s v="SAMSUNG CŨ"/>
        <s v="VSMART CŨ"/>
        <s v="XIAOMI CŨ"/>
      </sharedItems>
      <extLst>
        <ext xmlns:x15="http://schemas.microsoft.com/office/spreadsheetml/2010/11/main" uri="{4F2E5C28-24EA-4eb8-9CBF-B6C8F9C3D259}">
          <x15:cachedUniqueNames>
            <x15:cachedUniqueName index="0" name="[Dim_NganhHang].[Ngành hàng].&amp;[APPLE WATCH CŨ]"/>
            <x15:cachedUniqueName index="1" name="[Dim_NganhHang].[Ngành hàng].&amp;[ASUS CŨ]"/>
            <x15:cachedUniqueName index="2" name="[Dim_NganhHang].[Ngành hàng].&amp;[HONOR CŨ]"/>
            <x15:cachedUniqueName index="3" name="[Dim_NganhHang].[Ngành hàng].&amp;[HUAWEI CŨ]"/>
            <x15:cachedUniqueName index="4" name="[Dim_NganhHang].[Ngành hàng].&amp;[IPAD CŨ]"/>
            <x15:cachedUniqueName index="5" name="[Dim_NganhHang].[Ngành hàng].&amp;[IPHONE CŨ]"/>
            <x15:cachedUniqueName index="6" name="[Dim_NganhHang].[Ngành hàng].&amp;[KHÁC CŨ]"/>
            <x15:cachedUniqueName index="7" name="[Dim_NganhHang].[Ngành hàng].&amp;[MACBOOK CŨ]"/>
            <x15:cachedUniqueName index="8" name="[Dim_NganhHang].[Ngành hàng].&amp;[NOKIA CŨ]"/>
            <x15:cachedUniqueName index="9" name="[Dim_NganhHang].[Ngành hàng].&amp;[OPPO CŨ]"/>
            <x15:cachedUniqueName index="10" name="[Dim_NganhHang].[Ngành hàng].&amp;[REALME CŨ]"/>
            <x15:cachedUniqueName index="11" name="[Dim_NganhHang].[Ngành hàng].&amp;[SAMSUNG CŨ]"/>
            <x15:cachedUniqueName index="12" name="[Dim_NganhHang].[Ngành hàng].&amp;[VSMART CŨ]"/>
            <x15:cachedUniqueName index="13" name="[Dim_NganhHang].[Ngành hàng].&amp;[XIAOMI CŨ]"/>
          </x15:cachedUniqueNames>
        </ext>
      </extLst>
    </cacheField>
    <cacheField name="[Measures].[Vượt]" caption="Vượt" numFmtId="0" hierarchy="26" level="32767"/>
    <cacheField name="[Measures].[Đạt]" caption="Đạt" numFmtId="0" hierarchy="27" level="32767"/>
    <cacheField name="[Measures].[Không Đạt]" caption="Không Đạt" numFmtId="0" hierarchy="28" level="32767"/>
    <cacheField name="[Measures].[% Đạt Target]" caption="% Đạt Target" numFmtId="0" hierarchy="24" level="32767"/>
    <cacheField name="[Dim_NganhHang].[PIC].[PIC]" caption="PIC" numFmtId="0" level="1">
      <sharedItems count="4">
        <s v="LAN"/>
        <s v="MINH"/>
        <s v="NAM"/>
        <s v="SANG"/>
      </sharedItems>
      <extLst>
        <ext xmlns:x15="http://schemas.microsoft.com/office/spreadsheetml/2010/11/main" uri="{4F2E5C28-24EA-4eb8-9CBF-B6C8F9C3D259}">
          <x15:cachedUniqueNames>
            <x15:cachedUniqueName index="0" name="[Dim_NganhHang].[PIC].&amp;[LAN]"/>
            <x15:cachedUniqueName index="1" name="[Dim_NganhHang].[PIC].&amp;[MINH]"/>
            <x15:cachedUniqueName index="2" name="[Dim_NganhHang].[PIC].&amp;[NAM]"/>
            <x15:cachedUniqueName index="3" name="[Dim_NganhHang].[PIC].&amp;[SANG]"/>
          </x15:cachedUniqueNames>
        </ext>
      </extLst>
    </cacheField>
  </cacheFields>
  <cacheHierarchies count="42">
    <cacheHierarchy uniqueName="[Dim_NganhHang].[PIC]" caption="PIC" attribute="1" defaultMemberUniqueName="[Dim_NganhHang].[PIC].[All]" allUniqueName="[Dim_NganhHang].[PIC].[All]" dimensionUniqueName="[Dim_NganhHang]" displayFolder="" count="2" memberValueDatatype="130" unbalanced="0">
      <fieldsUsage count="2">
        <fieldUsage x="-1"/>
        <fieldUsage x="6"/>
      </fieldsUsage>
    </cacheHierarchy>
    <cacheHierarchy uniqueName="[Dim_NganhHang].[Ngành hàng]" caption="Ngành hàng" attribute="1" defaultMemberUniqueName="[Dim_NganhHang].[Ngành hàng].[All]" allUniqueName="[Dim_NganhHang].[Ngành hàng].[All]" dimensionUniqueName="[Dim_NganhHang]" displayFolder="" count="2" memberValueDatatype="130" unbalanced="0">
      <fieldsUsage count="2">
        <fieldUsage x="-1"/>
        <fieldUsage x="1"/>
      </fieldsUsage>
    </cacheHierarchy>
    <cacheHierarchy uniqueName="[Dim_ThoiGian].[Tháng]" caption="Tháng" attribute="1" defaultMemberUniqueName="[Dim_ThoiGian].[Tháng].[All]" allUniqueName="[Dim_ThoiGian].[Tháng].[All]" dimensionUniqueName="[Dim_ThoiGian]" displayFolder="" count="2" memberValueDatatype="130" unbalanced="0">
      <fieldsUsage count="2">
        <fieldUsage x="-1"/>
        <fieldUsage x="0"/>
      </fieldsUsage>
    </cacheHierarchy>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0" memberValueDatatype="130" unbalanced="0"/>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oneField="1">
      <fieldsUsage count="1">
        <fieldUsage x="5"/>
      </fieldsUsage>
    </cacheHierarchy>
    <cacheHierarchy uniqueName="[Measures].[Xếp Loại]" caption="Xếp Loại" measure="1" displayFolder="" measureGroup="Xử lý Doanh số" count="0"/>
    <cacheHierarchy uniqueName="[Measures].[Vượt]" caption="Vượt" measure="1" displayFolder="" measureGroup="Xử lý Doanh số" count="0" oneField="1">
      <fieldsUsage count="1">
        <fieldUsage x="2"/>
      </fieldsUsage>
    </cacheHierarchy>
    <cacheHierarchy uniqueName="[Measures].[Đạt]" caption="Đạt" measure="1" displayFolder="" measureGroup="Xử lý Doanh số" count="0" oneField="1">
      <fieldsUsage count="1">
        <fieldUsage x="3"/>
      </fieldsUsage>
    </cacheHierarchy>
    <cacheHierarchy uniqueName="[Measures].[Không Đạt]" caption="Không Đạt" measure="1" displayFolder="" measureGroup="Xử lý Doanh số" count="0" oneField="1">
      <fieldsUsage count="1">
        <fieldUsage x="4"/>
      </fieldsUsage>
    </cacheHierarchy>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1803263889" createdVersion="5" refreshedVersion="8" minRefreshableVersion="3" recordCount="0" supportSubquery="1" supportAdvancedDrill="1" xr:uid="{3FFB2846-973F-4EFC-885B-41298EF91581}">
  <cacheSource type="external" connectionId="4"/>
  <cacheFields count="6">
    <cacheField name="[Measures].[Tổng Doanh Số]" caption="Tổng Doanh Số" numFmtId="0" hierarchy="22" level="32767"/>
    <cacheField name="[Measures].[Tổng Target]" caption="Tổng Target" numFmtId="0" hierarchy="23" level="32767"/>
    <cacheField name="[Measures].[% Đạt Target]" caption="% Đạt Target" numFmtId="0" hierarchy="24" level="32767"/>
    <cacheField name="[Dim_NganhHang].[Ngành hàng].[Ngành hàng]" caption="Ngành hàng" numFmtId="0" hierarchy="1" level="1">
      <sharedItems count="14">
        <s v="NOKIA CŨ"/>
        <s v="OPPO CŨ"/>
        <s v="REALME CŨ"/>
        <s v="ASUS CŨ"/>
        <s v="HONOR CŨ"/>
        <s v="HUAWEI CŨ"/>
        <s v="KHÁC CŨ"/>
        <s v="APPLE WATCH CŨ"/>
        <s v="IPAD CŨ"/>
        <s v="IPHONE CŨ"/>
        <s v="MACBOOK CŨ"/>
        <s v="SAMSUNG CŨ"/>
        <s v="VSMART CŨ"/>
        <s v="XIAOMI CŨ"/>
      </sharedItems>
      <extLst>
        <ext xmlns:x15="http://schemas.microsoft.com/office/spreadsheetml/2010/11/main" uri="{4F2E5C28-24EA-4eb8-9CBF-B6C8F9C3D259}">
          <x15:cachedUniqueNames>
            <x15:cachedUniqueName index="0" name="[Dim_NganhHang].[Ngành hàng].&amp;[NOKIA CŨ]"/>
            <x15:cachedUniqueName index="1" name="[Dim_NganhHang].[Ngành hàng].&amp;[OPPO CŨ]"/>
            <x15:cachedUniqueName index="2" name="[Dim_NganhHang].[Ngành hàng].&amp;[REALME CŨ]"/>
            <x15:cachedUniqueName index="3" name="[Dim_NganhHang].[Ngành hàng].&amp;[ASUS CŨ]"/>
            <x15:cachedUniqueName index="4" name="[Dim_NganhHang].[Ngành hàng].&amp;[HONOR CŨ]"/>
            <x15:cachedUniqueName index="5" name="[Dim_NganhHang].[Ngành hàng].&amp;[HUAWEI CŨ]"/>
            <x15:cachedUniqueName index="6" name="[Dim_NganhHang].[Ngành hàng].&amp;[KHÁC CŨ]"/>
            <x15:cachedUniqueName index="7" name="[Dim_NganhHang].[Ngành hàng].&amp;[APPLE WATCH CŨ]"/>
            <x15:cachedUniqueName index="8" name="[Dim_NganhHang].[Ngành hàng].&amp;[IPAD CŨ]"/>
            <x15:cachedUniqueName index="9" name="[Dim_NganhHang].[Ngành hàng].&amp;[IPHONE CŨ]"/>
            <x15:cachedUniqueName index="10" name="[Dim_NganhHang].[Ngành hàng].&amp;[MACBOOK CŨ]"/>
            <x15:cachedUniqueName index="11" name="[Dim_NganhHang].[Ngành hàng].&amp;[SAMSUNG CŨ]"/>
            <x15:cachedUniqueName index="12" name="[Dim_NganhHang].[Ngành hàng].&amp;[VSMART CŨ]"/>
            <x15:cachedUniqueName index="13" name="[Dim_NganhHang].[Ngành hàng].&amp;[XIAOMI CŨ]"/>
          </x15:cachedUniqueNames>
        </ext>
      </extLst>
    </cacheField>
    <cacheField name="[Dim_NganhHang].[PIC].[PIC]" caption="PIC" numFmtId="0" level="1">
      <sharedItems count="4">
        <s v="LAN"/>
        <s v="MINH"/>
        <s v="NAM"/>
        <s v="SANG"/>
      </sharedItems>
      <extLst>
        <ext xmlns:x15="http://schemas.microsoft.com/office/spreadsheetml/2010/11/main" uri="{4F2E5C28-24EA-4eb8-9CBF-B6C8F9C3D259}">
          <x15:cachedUniqueNames>
            <x15:cachedUniqueName index="0" name="[Dim_NganhHang].[PIC].&amp;[LAN]"/>
            <x15:cachedUniqueName index="1" name="[Dim_NganhHang].[PIC].&amp;[MINH]"/>
            <x15:cachedUniqueName index="2" name="[Dim_NganhHang].[PIC].&amp;[NAM]"/>
            <x15:cachedUniqueName index="3" name="[Dim_NganhHang].[PIC].&amp;[SANG]"/>
          </x15:cachedUniqueNames>
        </ext>
      </extLst>
    </cacheField>
    <cacheField name="[Measures].[Xếp Loại]" caption="Xếp Loại" numFmtId="0" hierarchy="25" level="32767"/>
  </cacheFields>
  <cacheHierarchies count="42">
    <cacheHierarchy uniqueName="[Dim_NganhHang].[PIC]" caption="PIC" attribute="1" defaultMemberUniqueName="[Dim_NganhHang].[PIC].[All]" allUniqueName="[Dim_NganhHang].[PIC].[All]" dimensionUniqueName="[Dim_NganhHang]" displayFolder="" count="2" memberValueDatatype="130" unbalanced="0">
      <fieldsUsage count="2">
        <fieldUsage x="-1"/>
        <fieldUsage x="4"/>
      </fieldsUsage>
    </cacheHierarchy>
    <cacheHierarchy uniqueName="[Dim_NganhHang].[Ngành hàng]" caption="Ngành hàng" attribute="1" defaultMemberUniqueName="[Dim_NganhHang].[Ngành hàng].[All]" allUniqueName="[Dim_NganhHang].[Ngành hàng].[All]" dimensionUniqueName="[Dim_NganhHang]" displayFolder="" count="2" memberValueDatatype="130" unbalanced="0">
      <fieldsUsage count="2">
        <fieldUsage x="-1"/>
        <fieldUsage x="3"/>
      </fieldsUsage>
    </cacheHierarchy>
    <cacheHierarchy uniqueName="[Dim_ThoiGian].[Tháng]" caption="Tháng" attribute="1" defaultMemberUniqueName="[Dim_ThoiGian].[Tháng].[All]" allUniqueName="[Dim_ThoiGian].[Tháng].[All]" dimensionUniqueName="[Dim_ThoiGian]" displayFolder="" count="2"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0" memberValueDatatype="130" unbalanced="0"/>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oneField="1">
      <fieldsUsage count="1">
        <fieldUsage x="0"/>
      </fieldsUsage>
    </cacheHierarchy>
    <cacheHierarchy uniqueName="[Measures].[Tổng Target]" caption="Tổng Target" measure="1" displayFolder="" measureGroup="Xử lý Doanh số" count="0" oneField="1">
      <fieldsUsage count="1">
        <fieldUsage x="1"/>
      </fieldsUsage>
    </cacheHierarchy>
    <cacheHierarchy uniqueName="[Measures].[% Đạt Target]" caption="% Đạt Target" measure="1" displayFolder="" measureGroup="Xử lý Doanh số" count="0" oneField="1">
      <fieldsUsage count="1">
        <fieldUsage x="2"/>
      </fieldsUsage>
    </cacheHierarchy>
    <cacheHierarchy uniqueName="[Measures].[Xếp Loại]" caption="Xếp Loại" measure="1" displayFolder="" measureGroup="Xử lý Doanh số" count="0" oneField="1">
      <fieldsUsage count="1">
        <fieldUsage x="5"/>
      </fieldsUsage>
    </cacheHierarchy>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838679976849" createdVersion="5" refreshedVersion="8" minRefreshableVersion="3" recordCount="0" supportSubquery="1" supportAdvancedDrill="1" xr:uid="{34B1E08C-8F8A-4BEF-A681-EB57D53C2562}">
  <cacheSource type="external" connectionId="4"/>
  <cacheFields count="3">
    <cacheField name="[Xử_lý_tồn_kho_tháng_7].[Danh mục].[Danh mục]" caption="Danh mục" numFmtId="0" hierarchy="12" level="1">
      <sharedItems count="13">
        <s v="APPLE WATCH CŨ"/>
        <s v="ASUS CŨ"/>
        <s v="HONOR CŨ"/>
        <s v="HUAWEI CŨ"/>
        <s v="IPAD CŨ"/>
        <s v="KHÁC CŨ"/>
        <s v="MACBOOK CŨ"/>
        <s v="NOKIA CŨ"/>
        <s v="OPPO CŨ"/>
        <s v="REALME CŨ"/>
        <s v="SAMSUNG CŨ"/>
        <s v="VSMART CŨ"/>
        <s v="XIAOMI CŨ"/>
      </sharedItems>
      <extLst>
        <ext xmlns:x15="http://schemas.microsoft.com/office/spreadsheetml/2010/11/main" uri="{4F2E5C28-24EA-4eb8-9CBF-B6C8F9C3D259}">
          <x15:cachedUniqueNames>
            <x15:cachedUniqueName index="0" name="[Xử_lý_tồn_kho_tháng_7].[Danh mục].&amp;[APPLE WATCH CŨ]"/>
            <x15:cachedUniqueName index="1" name="[Xử_lý_tồn_kho_tháng_7].[Danh mục].&amp;[ASUS CŨ]"/>
            <x15:cachedUniqueName index="2" name="[Xử_lý_tồn_kho_tháng_7].[Danh mục].&amp;[HONOR CŨ]"/>
            <x15:cachedUniqueName index="3" name="[Xử_lý_tồn_kho_tháng_7].[Danh mục].&amp;[HUAWEI CŨ]"/>
            <x15:cachedUniqueName index="4" name="[Xử_lý_tồn_kho_tháng_7].[Danh mục].&amp;[IPAD CŨ]"/>
            <x15:cachedUniqueName index="5" name="[Xử_lý_tồn_kho_tháng_7].[Danh mục].&amp;[KHÁC CŨ]"/>
            <x15:cachedUniqueName index="6" name="[Xử_lý_tồn_kho_tháng_7].[Danh mục].&amp;[MACBOOK CŨ]"/>
            <x15:cachedUniqueName index="7" name="[Xử_lý_tồn_kho_tháng_7].[Danh mục].&amp;[NOKIA CŨ]"/>
            <x15:cachedUniqueName index="8" name="[Xử_lý_tồn_kho_tháng_7].[Danh mục].&amp;[OPPO CŨ]"/>
            <x15:cachedUniqueName index="9" name="[Xử_lý_tồn_kho_tháng_7].[Danh mục].&amp;[REALME CŨ]"/>
            <x15:cachedUniqueName index="10" name="[Xử_lý_tồn_kho_tháng_7].[Danh mục].&amp;[SAMSUNG CŨ]"/>
            <x15:cachedUniqueName index="11" name="[Xử_lý_tồn_kho_tháng_7].[Danh mục].&amp;[VSMART CŨ]"/>
            <x15:cachedUniqueName index="12" name="[Xử_lý_tồn_kho_tháng_7].[Danh mục].&amp;[XIAOMI CŨ]"/>
          </x15:cachedUniqueNames>
        </ext>
      </extLst>
    </cacheField>
    <cacheField name="[Measures].[Tổng Tồn]" caption="Tổng Tồn" numFmtId="0" hierarchy="29" level="32767"/>
    <cacheField name="[Measures].[Dự báo tồn cuối tháng]" caption="Dự báo tồn cuối tháng" numFmtId="0" hierarchy="32" level="32767"/>
  </cacheFields>
  <cacheHierarchies count="42">
    <cacheHierarchy uniqueName="[Dim_NganhHang].[PIC]" caption="PIC" attribute="1" defaultMemberUniqueName="[Dim_NganhHang].[PIC].[All]" allUniqueName="[Dim_NganhHang].[PIC].[All]" dimensionUniqueName="[Dim_NganhHang]" displayFolder="" count="0"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0"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2" memberValueDatatype="130" unbalanced="0">
      <fieldsUsage count="2">
        <fieldUsage x="-1"/>
        <fieldUsage x="0"/>
      </fieldsUsage>
    </cacheHierarchy>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oneField="1">
      <fieldsUsage count="1">
        <fieldUsage x="1"/>
      </fieldsUsage>
    </cacheHierarchy>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oneField="1">
      <fieldsUsage count="1">
        <fieldUsage x="2"/>
      </fieldsUsage>
    </cacheHierarchy>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y uniqueName="[Measures].[Sum of Giá bán]" caption="Sum of Giá bán" measure="1" displayFolder="" measureGroup="Xử_lý_tồn_kho_tháng_7" count="0" hidden="1">
      <extLst>
        <ext xmlns:x15="http://schemas.microsoft.com/office/spreadsheetml/2010/11/main" uri="{B97F6D7D-B522-45F9-BDA1-12C45D357490}">
          <x15:cacheHierarchy aggregatedColumn="14"/>
        </ext>
      </extLst>
    </cacheHierarchy>
    <cacheHierarchy uniqueName="[Measures].[Sum of Tồn có thể bán]" caption="Sum of Tồn có thể bán" measure="1" displayFolder="" measureGroup="Xử_lý_tồn_kho_tháng_7" count="0" hidden="1">
      <extLst>
        <ext xmlns:x15="http://schemas.microsoft.com/office/spreadsheetml/2010/11/main" uri="{B97F6D7D-B522-45F9-BDA1-12C45D357490}">
          <x15:cacheHierarchy aggregatedColumn="15"/>
        </ext>
      </extLst>
    </cacheHierarchy>
    <cacheHierarchy uniqueName="[Measures].[Count of Flag tồn kho]" caption="Count of Flag tồn kho" measure="1" displayFolder="" measureGroup="Xử_lý_tồn_kho_tháng_7" count="0" hidden="1">
      <extLst>
        <ext xmlns:x15="http://schemas.microsoft.com/office/spreadsheetml/2010/11/main" uri="{B97F6D7D-B522-45F9-BDA1-12C45D357490}">
          <x15:cacheHierarchy aggregatedColumn="21"/>
        </ext>
      </extLst>
    </cacheHierarchy>
  </cacheHierarchies>
  <kpis count="0"/>
  <dimensions count="6">
    <dimension name="Dim_NganhHang" uniqueName="[Dim_NganhHang]" caption="Dim_NganhHang"/>
    <dimension name="Dim_ThoiGian" uniqueName="[Dim_ThoiGian]" caption="Dim_ThoiGian"/>
    <dimension measure="1" name="Measures" uniqueName="[Measures]" caption="Measures"/>
    <dimension name="Target" uniqueName="[Target]" caption="Target"/>
    <dimension name="Xử lý Doanh số" uniqueName="[Xử lý Doanh số]" caption="Xử lý Doanh số"/>
    <dimension name="Xử_lý_tồn_kho_tháng_7" uniqueName="[Xử_lý_tồn_kho_tháng_7]" caption="Xử_lý_tồn_kho_tháng_7"/>
  </dimensions>
  <measureGroups count="5">
    <measureGroup name="Dim_NganhHang" caption="Dim_NganhHang"/>
    <measureGroup name="Dim_ThoiGian" caption="Dim_ThoiGian"/>
    <measureGroup name="Target" caption="Target"/>
    <measureGroup name="Xử lý Doanh số" caption="Xử lý Doanh số"/>
    <measureGroup name="Xử_lý_tồn_kho_tháng_7" caption="Xử_lý_tồn_kho_tháng_7"/>
  </measureGroups>
  <maps count="9">
    <map measureGroup="0" dimension="0"/>
    <map measureGroup="1" dimension="1"/>
    <map measureGroup="2" dimension="0"/>
    <map measureGroup="2" dimension="1"/>
    <map measureGroup="2" dimension="3"/>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m Hop" refreshedDate="46110.436679050923" createdVersion="3" refreshedVersion="8" minRefreshableVersion="3" recordCount="0" supportSubquery="1" supportAdvancedDrill="1" xr:uid="{38A19A11-77BB-4E9B-BA7E-D50D2632DB81}">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Dim_NganhHang].[PIC]" caption="PIC" attribute="1" defaultMemberUniqueName="[Dim_NganhHang].[PIC].[All]" allUniqueName="[Dim_NganhHang].[PIC].[All]" dimensionUniqueName="[Dim_NganhHang]" displayFolder="" count="2" memberValueDatatype="130" unbalanced="0"/>
    <cacheHierarchy uniqueName="[Dim_NganhHang].[Ngành hàng]" caption="Ngành hàng" attribute="1" defaultMemberUniqueName="[Dim_NganhHang].[Ngành hàng].[All]" allUniqueName="[Dim_NganhHang].[Ngành hàng].[All]" dimensionUniqueName="[Dim_NganhHang]" displayFolder="" count="0" memberValueDatatype="130" unbalanced="0"/>
    <cacheHierarchy uniqueName="[Dim_ThoiGian].[Tháng]" caption="Tháng" attribute="1" defaultMemberUniqueName="[Dim_ThoiGian].[Tháng].[All]" allUniqueName="[Dim_ThoiGian].[Tháng].[All]" dimensionUniqueName="[Dim_ThoiGian]" displayFolder="" count="2" memberValueDatatype="130" unbalanced="0"/>
    <cacheHierarchy uniqueName="[Dim_ThoiGian].[Quý]" caption="Quý" attribute="1" defaultMemberUniqueName="[Dim_ThoiGian].[Quý].[All]" allUniqueName="[Dim_ThoiGian].[Quý].[All]" dimensionUniqueName="[Dim_ThoiGian]" displayFolder="" count="0" memberValueDatatype="130" unbalanced="0"/>
    <cacheHierarchy uniqueName="[Target].[PIC]" caption="PIC" attribute="1" defaultMemberUniqueName="[Target].[PIC].[All]" allUniqueName="[Target].[PIC].[All]" dimensionUniqueName="[Target]" displayFolder="" count="0" memberValueDatatype="130" unbalanced="0"/>
    <cacheHierarchy uniqueName="[Target].[Ngành hàng]" caption="Ngành hàng" attribute="1" defaultMemberUniqueName="[Target].[Ngành hàng].[All]" allUniqueName="[Target].[Ngành hàng].[All]" dimensionUniqueName="[Target]" displayFolder="" count="0" memberValueDatatype="130" unbalanced="0"/>
    <cacheHierarchy uniqueName="[Target].[Tháng]" caption="Tháng" attribute="1" defaultMemberUniqueName="[Target].[Tháng].[All]" allUniqueName="[Target].[Tháng].[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5" unbalanced="0"/>
    <cacheHierarchy uniqueName="[Xử lý Doanh số].[Danh mục]" caption="Danh mục" attribute="1" defaultMemberUniqueName="[Xử lý Doanh số].[Danh mục].[All]" allUniqueName="[Xử lý Doanh số].[Danh mục].[All]" dimensionUniqueName="[Xử lý Doanh số]" displayFolder="" count="0" memberValueDatatype="130" unbalanced="0"/>
    <cacheHierarchy uniqueName="[Xử lý Doanh số].[Giá bán bình quân]" caption="Giá bán bình quân" attribute="1" defaultMemberUniqueName="[Xử lý Doanh số].[Giá bán bình quân].[All]" allUniqueName="[Xử lý Doanh số].[Giá bán bình quân].[All]" dimensionUniqueName="[Xử lý Doanh số]" displayFolder="" count="0" memberValueDatatype="5" unbalanced="0"/>
    <cacheHierarchy uniqueName="[Xử lý Doanh số].[Tháng]" caption="Tháng" attribute="1" defaultMemberUniqueName="[Xử lý Doanh số].[Tháng].[All]" allUniqueName="[Xử lý Doanh số].[Tháng].[All]" dimensionUniqueName="[Xử lý Doanh số]" displayFolder="" count="0" memberValueDatatype="130" unbalanced="0"/>
    <cacheHierarchy uniqueName="[Xử lý Doanh số].[Doanh số]" caption="Doanh số" attribute="1" defaultMemberUniqueName="[Xử lý Doanh số].[Doanh số].[All]" allUniqueName="[Xử lý Doanh số].[Doanh số].[All]" dimensionUniqueName="[Xử lý Doanh số]" displayFolder="" count="0" memberValueDatatype="5" unbalanced="0"/>
    <cacheHierarchy uniqueName="[Xử_lý_tồn_kho_tháng_7].[Danh mục]" caption="Danh mục" attribute="1" defaultMemberUniqueName="[Xử_lý_tồn_kho_tháng_7].[Danh mục].[All]" allUniqueName="[Xử_lý_tồn_kho_tháng_7].[Danh mục].[All]" dimensionUniqueName="[Xử_lý_tồn_kho_tháng_7]" displayFolder="" count="0" memberValueDatatype="130" unbalanced="0"/>
    <cacheHierarchy uniqueName="[Xử_lý_tồn_kho_tháng_7].[Tên sản phẩm]" caption="Tên sản phẩm" attribute="1" defaultMemberUniqueName="[Xử_lý_tồn_kho_tháng_7].[Tên sản phẩm].[All]" allUniqueName="[Xử_lý_tồn_kho_tháng_7].[Tên sản phẩm].[All]" dimensionUniqueName="[Xử_lý_tồn_kho_tháng_7]" displayFolder="" count="0" memberValueDatatype="130" unbalanced="0"/>
    <cacheHierarchy uniqueName="[Xử_lý_tồn_kho_tháng_7].[Giá bán]" caption="Giá bán" attribute="1" defaultMemberUniqueName="[Xử_lý_tồn_kho_tháng_7].[Giá bán].[All]" allUniqueName="[Xử_lý_tồn_kho_tháng_7].[Giá bán].[All]" dimensionUniqueName="[Xử_lý_tồn_kho_tháng_7]" displayFolder="" count="0" memberValueDatatype="20" unbalanced="0"/>
    <cacheHierarchy uniqueName="[Xử_lý_tồn_kho_tháng_7].[Tồn có thể bán]" caption="Tồn có thể bán" attribute="1" defaultMemberUniqueName="[Xử_lý_tồn_kho_tháng_7].[Tồn có thể bán].[All]" allUniqueName="[Xử_lý_tồn_kho_tháng_7].[Tồn có thể bán].[All]" dimensionUniqueName="[Xử_lý_tồn_kho_tháng_7]" displayFolder="" count="0" memberValueDatatype="20" unbalanced="0"/>
    <cacheHierarchy uniqueName="[Xử_lý_tồn_kho_tháng_7].[Số bán hôm qua]" caption="Số bán hôm qua" attribute="1" defaultMemberUniqueName="[Xử_lý_tồn_kho_tháng_7].[Số bán hôm qua].[All]" allUniqueName="[Xử_lý_tồn_kho_tháng_7].[Số bán hôm qua].[All]" dimensionUniqueName="[Xử_lý_tồn_kho_tháng_7]" displayFolder="" count="0" memberValueDatatype="20" unbalanced="0"/>
    <cacheHierarchy uniqueName="[Xử_lý_tồn_kho_tháng_7].[Số bán 3 ngày qua]" caption="Số bán 3 ngày qua" attribute="1" defaultMemberUniqueName="[Xử_lý_tồn_kho_tháng_7].[Số bán 3 ngày qua].[All]" allUniqueName="[Xử_lý_tồn_kho_tháng_7].[Số bán 3 ngày qua].[All]" dimensionUniqueName="[Xử_lý_tồn_kho_tháng_7]" displayFolder="" count="0" memberValueDatatype="20" unbalanced="0"/>
    <cacheHierarchy uniqueName="[Xử_lý_tồn_kho_tháng_7].[Số bán 7 ngày qua]" caption="Số bán 7 ngày qua" attribute="1" defaultMemberUniqueName="[Xử_lý_tồn_kho_tháng_7].[Số bán 7 ngày qua].[All]" allUniqueName="[Xử_lý_tồn_kho_tháng_7].[Số bán 7 ngày qua].[All]" dimensionUniqueName="[Xử_lý_tồn_kho_tháng_7]" displayFolder="" count="0" memberValueDatatype="20" unbalanced="0"/>
    <cacheHierarchy uniqueName="[Xử_lý_tồn_kho_tháng_7].[Số nhập hôm qua]" caption="Số nhập hôm qua" attribute="1" defaultMemberUniqueName="[Xử_lý_tồn_kho_tháng_7].[Số nhập hôm qua].[All]" allUniqueName="[Xử_lý_tồn_kho_tháng_7].[Số nhập hôm qua].[All]" dimensionUniqueName="[Xử_lý_tồn_kho_tháng_7]" displayFolder="" count="0" memberValueDatatype="20" unbalanced="0"/>
    <cacheHierarchy uniqueName="[Xử_lý_tồn_kho_tháng_7].[Số nhập 7 ngày qua]" caption="Số nhập 7 ngày qua" attribute="1" defaultMemberUniqueName="[Xử_lý_tồn_kho_tháng_7].[Số nhập 7 ngày qua].[All]" allUniqueName="[Xử_lý_tồn_kho_tháng_7].[Số nhập 7 ngày qua].[All]" dimensionUniqueName="[Xử_lý_tồn_kho_tháng_7]" displayFolder="" count="0" memberValueDatatype="20" unbalanced="0"/>
    <cacheHierarchy uniqueName="[Xử_lý_tồn_kho_tháng_7].[Flag tồn kho]" caption="Flag tồn kho" attribute="1" defaultMemberUniqueName="[Xử_lý_tồn_kho_tháng_7].[Flag tồn kho].[All]" allUniqueName="[Xử_lý_tồn_kho_tháng_7].[Flag tồn kho].[All]" dimensionUniqueName="[Xử_lý_tồn_kho_tháng_7]" displayFolder="" count="0" memberValueDatatype="130" unbalanced="0"/>
    <cacheHierarchy uniqueName="[Measures].[Tổng Doanh Số]" caption="Tổng Doanh Số" measure="1" displayFolder="" measureGroup="Xử lý Doanh số" count="0"/>
    <cacheHierarchy uniqueName="[Measures].[Tổng Target]" caption="Tổng Target" measure="1" displayFolder="" measureGroup="Xử lý Doanh số" count="0"/>
    <cacheHierarchy uniqueName="[Measures].[% Đạt Target]" caption="% Đạt Target" measure="1" displayFolder="" measureGroup="Xử lý Doanh số" count="0"/>
    <cacheHierarchy uniqueName="[Measures].[Xếp Loại]" caption="Xếp Loại" measure="1" displayFolder="" measureGroup="Xử lý Doanh số" count="0"/>
    <cacheHierarchy uniqueName="[Measures].[Vượt]" caption="Vượt" measure="1" displayFolder="" measureGroup="Xử lý Doanh số" count="0"/>
    <cacheHierarchy uniqueName="[Measures].[Đạt]" caption="Đạt" measure="1" displayFolder="" measureGroup="Xử lý Doanh số" count="0"/>
    <cacheHierarchy uniqueName="[Measures].[Không Đạt]" caption="Không Đạt" measure="1" displayFolder="" measureGroup="Xử lý Doanh số" count="0"/>
    <cacheHierarchy uniqueName="[Measures].[Tổng Tồn]" caption="Tổng Tồn" measure="1" displayFolder="" measureGroup="Xử_lý_tồn_kho_tháng_7" count="0"/>
    <cacheHierarchy uniqueName="[Measures].[Tốc độ bán/Ngày]" caption="Tốc độ bán/Ngày" measure="1" displayFolder="" measureGroup="Xử_lý_tồn_kho_tháng_7" count="0"/>
    <cacheHierarchy uniqueName="[Measures].[Dự tính Số ngày hết hàng]" caption="Dự tính Số ngày hết hàng" measure="1" displayFolder="" measureGroup="Xử_lý_tồn_kho_tháng_7" count="0"/>
    <cacheHierarchy uniqueName="[Measures].[Dự báo tồn cuối tháng]" caption="Dự báo tồn cuối tháng" measure="1" displayFolder="" measureGroup="Xử_lý_tồn_kho_tháng_7" count="0"/>
    <cacheHierarchy uniqueName="[Measures].[__XL_Count Xử lý Doanh số]" caption="__XL_Count Xử lý Doanh số" measure="1" displayFolder="" measureGroup="Xử lý Doanh số" count="0" hidden="1"/>
    <cacheHierarchy uniqueName="[Measures].[__XL_Count Target]" caption="__XL_Count Target" measure="1" displayFolder="" measureGroup="Target" count="0" hidden="1"/>
    <cacheHierarchy uniqueName="[Measures].[__XL_Count Table7]" caption="__XL_Count Table7" measure="1" displayFolder="" measureGroup="Dim_NganhHang" count="0" hidden="1"/>
    <cacheHierarchy uniqueName="[Measures].[__XL_Count Table6]" caption="__XL_Count Table6" measure="1" displayFolder="" measureGroup="Dim_ThoiGian" count="0" hidden="1"/>
    <cacheHierarchy uniqueName="[Measures].[__XL_Count Xử_lý_tồn_kho_tháng_7]" caption="__XL_Count Xử_lý_tồn_kho_tháng_7" measure="1" displayFolder="" measureGroup="Xử_lý_tồn_kho_tháng_7"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40339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72B57-DBE2-4427-B6EE-B13FB2F7575A}" name="PivotTable5" cacheId="9" applyNumberFormats="0" applyBorderFormats="0" applyFontFormats="0" applyPatternFormats="0" applyAlignmentFormats="0" applyWidthHeightFormats="1" dataCaption="Values" tag="fd60a219-ffe6-417e-b44a-346dcb19544a" updatedVersion="8" minRefreshableVersion="3" useAutoFormatting="1" subtotalHiddenItems="1" itemPrintTitles="1" createdVersion="5" indent="0" outline="1" outlineData="1" multipleFieldFilters="0" chartFormat="18">
  <location ref="B60:F65" firstHeaderRow="0" firstDataRow="1" firstDataCol="1" rowPageCount="1" colPageCount="1"/>
  <pivotFields count="7">
    <pivotField axis="axisPage" allDrilled="1" showAll="0" dataSourceSort="1" defaultAttributeDrillState="1">
      <items count="1">
        <item t="default"/>
      </items>
      <extLst>
        <ext xmlns:x14="http://schemas.microsoft.com/office/spreadsheetml/2009/9/main" uri="{2946ED86-A175-432a-8AC1-64E0C546D7DE}">
          <x14:pivotField fillDownLabels="1"/>
        </ext>
      </extLst>
    </pivotField>
    <pivotField allDrilled="1" showAll="0" sortType="descending" dataSourceSort="1" defaultAttributeDrillState="1">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sortType="descending" dataSourceSort="1" defaultAttributeDrillState="1">
      <items count="5">
        <item x="0"/>
        <item x="1"/>
        <item x="2"/>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1">
    <field x="6"/>
  </rowFields>
  <rowItems count="5">
    <i>
      <x v="1"/>
    </i>
    <i>
      <x/>
    </i>
    <i>
      <x v="2"/>
    </i>
    <i>
      <x v="3"/>
    </i>
    <i t="grand">
      <x/>
    </i>
  </rowItems>
  <colFields count="1">
    <field x="-2"/>
  </colFields>
  <colItems count="4">
    <i>
      <x/>
    </i>
    <i i="1">
      <x v="1"/>
    </i>
    <i i="2">
      <x v="2"/>
    </i>
    <i i="3">
      <x v="3"/>
    </i>
  </colItems>
  <pageFields count="1">
    <pageField fld="0" hier="2" name="[Dim_ThoiGian].[Tháng].[All]" cap="All"/>
  </pageFields>
  <dataFields count="4">
    <dataField fld="5" subtotal="count" baseField="0" baseItem="0"/>
    <dataField fld="2" subtotal="count" baseField="0" baseItem="0"/>
    <dataField fld="3" subtotal="count" baseField="0" baseItem="0"/>
    <dataField fld="4" subtotal="count" baseField="0" baseItem="0"/>
  </dataFields>
  <formats count="3">
    <format dxfId="52">
      <pivotArea dataOnly="0" outline="0" fieldPosition="0">
        <references count="1">
          <reference field="4294967294" count="1">
            <x v="1"/>
          </reference>
        </references>
      </pivotArea>
    </format>
    <format dxfId="51">
      <pivotArea dataOnly="0" outline="0" fieldPosition="0">
        <references count="1">
          <reference field="4294967294" count="1">
            <x v="2"/>
          </reference>
        </references>
      </pivotArea>
    </format>
    <format dxfId="50">
      <pivotArea dataOnly="0" outline="0" fieldPosition="0">
        <references count="1">
          <reference field="4294967294" count="1">
            <x v="3"/>
          </reference>
        </references>
      </pivotArea>
    </format>
  </formats>
  <chartFormats count="16">
    <chartFormat chart="1"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2"/>
          </reference>
        </references>
      </pivotArea>
    </chartFormat>
    <chartFormat chart="1" format="5" series="1">
      <pivotArea type="data" outline="0" fieldPosition="0">
        <references count="1">
          <reference field="4294967294" count="1" selected="0">
            <x v="3"/>
          </reference>
        </references>
      </pivotArea>
    </chartFormat>
    <chartFormat chart="1" format="6"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8" format="13" series="1">
      <pivotArea type="data" outline="0" fieldPosition="0">
        <references count="1">
          <reference field="4294967294" count="1" selected="0">
            <x v="2"/>
          </reference>
        </references>
      </pivotArea>
    </chartFormat>
    <chartFormat chart="8" format="14" series="1">
      <pivotArea type="data" outline="0" fieldPosition="0">
        <references count="1">
          <reference field="4294967294" count="1" selected="0">
            <x v="3"/>
          </reference>
        </references>
      </pivotArea>
    </chartFormat>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 chart="11" format="13" series="1">
      <pivotArea type="data" outline="0" fieldPosition="0">
        <references count="1">
          <reference field="4294967294" count="1" selected="0">
            <x v="2"/>
          </reference>
        </references>
      </pivotArea>
    </chartFormat>
    <chartFormat chart="11" format="14" series="1">
      <pivotArea type="data" outline="0" fieldPosition="0">
        <references count="1">
          <reference field="4294967294" count="1" selected="0">
            <x v="3"/>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3"/>
          </reference>
        </references>
      </pivotArea>
    </chartFormat>
  </chartFormats>
  <pivotHierarchies count="4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ThoiGian]"/>
        <x15:activeTabTopLevelEntity name="[Xử lý Doanh số]"/>
        <x15:activeTabTopLevelEntity name="[Dim_NganhHang]"/>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D811E-1706-4922-8DAE-0A1394D8E6A7}" name="PivotTable4" cacheId="8" applyNumberFormats="0" applyBorderFormats="0" applyFontFormats="0" applyPatternFormats="0" applyAlignmentFormats="0" applyWidthHeightFormats="1" dataCaption="Values" tag="9b1bffe1-612a-4e42-b7fe-8334475c2c74" updatedVersion="8" minRefreshableVersion="3" useAutoFormatting="1" subtotalHiddenItems="1" itemPrintTitles="1" createdVersion="5" indent="0" outline="1" outlineData="1" multipleFieldFilters="0" chartFormat="15">
  <location ref="B37:F52" firstHeaderRow="0" firstDataRow="1" firstDataCol="1" rowPageCount="1" colPageCount="1"/>
  <pivotFields count="7">
    <pivotField axis="axisPage" allDrilled="1" showAll="0" dataSourceSort="1" defaultAttributeDrillState="1">
      <items count="1">
        <item t="default"/>
      </items>
      <extLst>
        <ext xmlns:x14="http://schemas.microsoft.com/office/spreadsheetml/2009/9/main" uri="{2946ED86-A175-432a-8AC1-64E0C546D7DE}">
          <x14:pivotField fillDownLabels="1"/>
        </ext>
      </extLst>
    </pivotField>
    <pivotField axis="axisRow" allDrilled="1" showAll="0" sortType="descending" dataSourceSort="1" defaultAttributeDrillState="1">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1"/>
  </rowFields>
  <rowItems count="15">
    <i>
      <x v="1"/>
    </i>
    <i>
      <x v="8"/>
    </i>
    <i>
      <x v="10"/>
    </i>
    <i>
      <x/>
    </i>
    <i>
      <x v="2"/>
    </i>
    <i>
      <x v="12"/>
    </i>
    <i>
      <x v="6"/>
    </i>
    <i>
      <x v="5"/>
    </i>
    <i>
      <x v="3"/>
    </i>
    <i>
      <x v="11"/>
    </i>
    <i>
      <x v="9"/>
    </i>
    <i>
      <x v="13"/>
    </i>
    <i>
      <x v="4"/>
    </i>
    <i>
      <x v="7"/>
    </i>
    <i t="grand">
      <x/>
    </i>
  </rowItems>
  <colFields count="1">
    <field x="-2"/>
  </colFields>
  <colItems count="4">
    <i>
      <x/>
    </i>
    <i i="1">
      <x v="1"/>
    </i>
    <i i="2">
      <x v="2"/>
    </i>
    <i i="3">
      <x v="3"/>
    </i>
  </colItems>
  <pageFields count="1">
    <pageField fld="0" hier="2" name="[Dim_ThoiGian].[Tháng].[All]" cap="All"/>
  </pageFields>
  <dataFields count="4">
    <dataField fld="5" subtotal="count" baseField="0" baseItem="0"/>
    <dataField fld="2" subtotal="count" baseField="0" baseItem="0"/>
    <dataField fld="3" subtotal="count" baseField="0" baseItem="0"/>
    <dataField fld="4" subtotal="count" baseField="0" baseItem="0"/>
  </dataFields>
  <formats count="3">
    <format dxfId="55">
      <pivotArea dataOnly="0" outline="0" fieldPosition="0">
        <references count="1">
          <reference field="4294967294" count="1">
            <x v="1"/>
          </reference>
        </references>
      </pivotArea>
    </format>
    <format dxfId="54">
      <pivotArea dataOnly="0" outline="0" fieldPosition="0">
        <references count="1">
          <reference field="4294967294" count="1">
            <x v="2"/>
          </reference>
        </references>
      </pivotArea>
    </format>
    <format dxfId="53">
      <pivotArea dataOnly="0" outline="0" fieldPosition="0">
        <references count="1">
          <reference field="4294967294" count="1">
            <x v="3"/>
          </reference>
        </references>
      </pivotArea>
    </format>
  </formats>
  <chartFormats count="12">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2"/>
          </reference>
        </references>
      </pivotArea>
    </chartFormat>
    <chartFormat chart="12" format="10" series="1">
      <pivotArea type="data" outline="0" fieldPosition="0">
        <references count="1">
          <reference field="4294967294" count="1" selected="0">
            <x v="3"/>
          </reference>
        </references>
      </pivotArea>
    </chartFormat>
    <chartFormat chart="13" format="11"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1"/>
          </reference>
        </references>
      </pivotArea>
    </chartFormat>
    <chartFormat chart="13" format="13" series="1">
      <pivotArea type="data" outline="0" fieldPosition="0">
        <references count="1">
          <reference field="4294967294" count="1" selected="0">
            <x v="2"/>
          </reference>
        </references>
      </pivotArea>
    </chartFormat>
    <chartFormat chart="13" format="14" series="1">
      <pivotArea type="data" outline="0" fieldPosition="0">
        <references count="1">
          <reference field="4294967294" count="1" selected="0">
            <x v="3"/>
          </reference>
        </references>
      </pivotArea>
    </chartFormat>
    <chartFormat chart="14" format="11"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1"/>
          </reference>
        </references>
      </pivotArea>
    </chartFormat>
    <chartFormat chart="14" format="13" series="1">
      <pivotArea type="data" outline="0" fieldPosition="0">
        <references count="1">
          <reference field="4294967294" count="1" selected="0">
            <x v="2"/>
          </reference>
        </references>
      </pivotArea>
    </chartFormat>
    <chartFormat chart="14" format="14" series="1">
      <pivotArea type="data" outline="0" fieldPosition="0">
        <references count="1">
          <reference field="4294967294" count="1" selected="0">
            <x v="3"/>
          </reference>
        </references>
      </pivotArea>
    </chartFormat>
  </chartFormats>
  <pivotHierarchies count="4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ThoiGian]"/>
        <x15:activeTabTopLevelEntity name="[Xử lý Doanh số]"/>
        <x15:activeTabTopLevelEntity name="[Dim_NganhHang]"/>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89C3A1-E9EA-4336-92BF-BF19C7728513}" name="PivotTable3" cacheId="6" applyNumberFormats="0" applyBorderFormats="0" applyFontFormats="0" applyPatternFormats="0" applyAlignmentFormats="0" applyWidthHeightFormats="1" dataCaption="Values" tag="909b69f4-e8e1-4163-9d03-48c2c7ffa8f8" updatedVersion="8" minRefreshableVersion="3" useAutoFormatting="1" subtotalHiddenItems="1" itemPrintTitles="1" createdVersion="5" indent="0" outline="1" outlineData="1" multipleFieldFilters="0" chartFormat="7">
  <location ref="I7:L11" firstHeaderRow="0" firstDataRow="1" firstDataCol="1"/>
  <pivotFields count="5">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3"/>
  </rowFields>
  <rowItems count="4">
    <i>
      <x/>
    </i>
    <i>
      <x v="1"/>
    </i>
    <i>
      <x v="2"/>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2">
    <format dxfId="57">
      <pivotArea dataOnly="0" outline="0" fieldPosition="0">
        <references count="1">
          <reference field="4294967294" count="1">
            <x v="2"/>
          </reference>
        </references>
      </pivotArea>
    </format>
    <format dxfId="56">
      <pivotArea dataOnly="0" outline="0" fieldPosition="0">
        <references count="1">
          <reference field="4294967294" count="2">
            <x v="0"/>
            <x v="1"/>
          </reference>
        </references>
      </pivotArea>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4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ThoiGian]"/>
        <x15:activeTabTopLevelEntity name="[Xử lý Doanh số]"/>
        <x15:activeTabTopLevelEntity name="[Dim_NganhHang]"/>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D389F9-CDB6-4CC7-9740-8C9BE0F00F48}" name="PivotTable1" cacheId="7" applyNumberFormats="0" applyBorderFormats="0" applyFontFormats="0" applyPatternFormats="0" applyAlignmentFormats="0" applyWidthHeightFormats="1" dataCaption="Values" tag="ec0a1a74-b85d-4e35-89da-ef649b4c15d3" updatedVersion="8" minRefreshableVersion="3" useAutoFormatting="1" subtotalHiddenItems="1" itemPrintTitles="1" createdVersion="5" indent="0" outline="1" outlineData="1" multipleFieldFilters="0">
  <location ref="B7:F26" firstHeaderRow="0" firstDataRow="1" firstDataCol="1" rowPageCount="1" colPageCount="1"/>
  <pivotFields count="7">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howAll="0" dataSourceSort="1" defaultAttributeDrillState="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axis="axisPage" allDrilled="1" showAll="0" dataSourceSort="1" defaultAttributeDrillState="1">
      <items count="1">
        <item t="default"/>
      </items>
      <extLst>
        <ext xmlns:x14="http://schemas.microsoft.com/office/spreadsheetml/2009/9/main" uri="{2946ED86-A175-432a-8AC1-64E0C546D7DE}">
          <x14:pivotField fillDownLabels="1"/>
        </ext>
      </extLst>
    </pivotField>
    <pivotField axis="axisRow" allDrilled="1"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s>
  <rowFields count="2">
    <field x="5"/>
    <field x="3"/>
  </rowFields>
  <rowItems count="19">
    <i>
      <x/>
    </i>
    <i r="1">
      <x/>
    </i>
    <i r="1">
      <x v="1"/>
    </i>
    <i r="1">
      <x v="2"/>
    </i>
    <i>
      <x v="1"/>
    </i>
    <i r="1">
      <x v="3"/>
    </i>
    <i r="1">
      <x v="4"/>
    </i>
    <i r="1">
      <x v="5"/>
    </i>
    <i r="1">
      <x v="6"/>
    </i>
    <i>
      <x v="2"/>
    </i>
    <i r="1">
      <x v="7"/>
    </i>
    <i r="1">
      <x v="8"/>
    </i>
    <i r="1">
      <x v="9"/>
    </i>
    <i r="1">
      <x v="10"/>
    </i>
    <i>
      <x v="3"/>
    </i>
    <i r="1">
      <x v="11"/>
    </i>
    <i r="1">
      <x v="12"/>
    </i>
    <i r="1">
      <x v="13"/>
    </i>
    <i t="grand">
      <x/>
    </i>
  </rowItems>
  <colFields count="1">
    <field x="-2"/>
  </colFields>
  <colItems count="4">
    <i>
      <x/>
    </i>
    <i i="1">
      <x v="1"/>
    </i>
    <i i="2">
      <x v="2"/>
    </i>
    <i i="3">
      <x v="3"/>
    </i>
  </colItems>
  <pageFields count="1">
    <pageField fld="4" hier="2" name="[Dim_ThoiGian].[Tháng].[All]" cap="All"/>
  </pageFields>
  <dataFields count="4">
    <dataField fld="0" subtotal="count" baseField="0" baseItem="0"/>
    <dataField fld="1" subtotal="count" baseField="0" baseItem="0"/>
    <dataField fld="2" subtotal="count" baseField="0" baseItem="0"/>
    <dataField fld="6" subtotal="count" baseField="0" baseItem="0"/>
  </dataFields>
  <formats count="4">
    <format dxfId="61">
      <pivotArea dataOnly="0" outline="0" fieldPosition="0">
        <references count="1">
          <reference field="4294967294" count="1">
            <x v="2"/>
          </reference>
        </references>
      </pivotArea>
    </format>
    <format dxfId="60">
      <pivotArea dataOnly="0" outline="0" fieldPosition="0">
        <references count="1">
          <reference field="4294967294" count="2">
            <x v="0"/>
            <x v="1"/>
          </reference>
        </references>
      </pivotArea>
    </format>
    <format dxfId="59">
      <pivotArea outline="0" collapsedLevelsAreSubtotals="1" fieldPosition="0"/>
    </format>
    <format dxfId="58">
      <pivotArea dataOnly="0" labelOnly="1" outline="0" fieldPosition="0">
        <references count="1">
          <reference field="4294967294" count="4">
            <x v="0"/>
            <x v="1"/>
            <x v="2"/>
            <x v="3"/>
          </reference>
        </references>
      </pivotArea>
    </format>
  </formats>
  <pivotHierarchies count="4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ThoiGian]"/>
        <x15:activeTabTopLevelEntity name="[Xử lý Doanh số]"/>
        <x15:activeTabTopLevelEntity name="[Dim_NganhHang]"/>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BEAE6-73BB-47E5-BED6-2FF877431EA9}" name="PivotTable7" cacheId="10" applyNumberFormats="0" applyBorderFormats="0" applyFontFormats="0" applyPatternFormats="0" applyAlignmentFormats="0" applyWidthHeightFormats="1" dataCaption="Values" tag="b4c72c3a-490c-4e35-9816-b8481be9117b" updatedVersion="8" minRefreshableVersion="3" useAutoFormatting="1" subtotalHiddenItems="1" itemPrintTitles="1" createdVersion="5" indent="0" outline="1" outlineData="1" multipleFieldFilters="0">
  <location ref="S11:W30" firstHeaderRow="0" firstDataRow="1" firstDataCol="1"/>
  <pivotFields count="6">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axis="axisRow" allDrilled="1" showAll="0" dataSourceSort="1" defaultAttributeDrillState="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axis="axisRow" allDrilled="1"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s>
  <rowFields count="2">
    <field x="4"/>
    <field x="3"/>
  </rowFields>
  <rowItems count="19">
    <i>
      <x/>
    </i>
    <i r="1">
      <x/>
    </i>
    <i r="1">
      <x v="1"/>
    </i>
    <i r="1">
      <x v="2"/>
    </i>
    <i>
      <x v="1"/>
    </i>
    <i r="1">
      <x v="3"/>
    </i>
    <i r="1">
      <x v="4"/>
    </i>
    <i r="1">
      <x v="5"/>
    </i>
    <i r="1">
      <x v="6"/>
    </i>
    <i>
      <x v="2"/>
    </i>
    <i r="1">
      <x v="7"/>
    </i>
    <i r="1">
      <x v="8"/>
    </i>
    <i r="1">
      <x v="9"/>
    </i>
    <i r="1">
      <x v="10"/>
    </i>
    <i>
      <x v="3"/>
    </i>
    <i r="1">
      <x v="11"/>
    </i>
    <i r="1">
      <x v="12"/>
    </i>
    <i r="1">
      <x v="13"/>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5" subtotal="count" baseField="0" baseItem="0"/>
  </dataFields>
  <formats count="14">
    <format dxfId="49">
      <pivotArea dataOnly="0" outline="0" fieldPosition="0">
        <references count="1">
          <reference field="4294967294" count="1">
            <x v="2"/>
          </reference>
        </references>
      </pivotArea>
    </format>
    <format dxfId="48">
      <pivotArea dataOnly="0" outline="0" fieldPosition="0">
        <references count="1">
          <reference field="4294967294" count="2">
            <x v="0"/>
            <x v="1"/>
          </reference>
        </references>
      </pivotArea>
    </format>
    <format dxfId="47">
      <pivotArea outline="0" collapsedLevelsAreSubtotals="1" fieldPosition="0"/>
    </format>
    <format dxfId="46">
      <pivotArea dataOnly="0" labelOnly="1" outline="0" fieldPosition="0">
        <references count="1">
          <reference field="4294967294" count="4">
            <x v="0"/>
            <x v="1"/>
            <x v="2"/>
            <x v="3"/>
          </reference>
        </references>
      </pivotArea>
    </format>
    <format dxfId="45">
      <pivotArea type="all" dataOnly="0" outline="0" fieldPosition="0"/>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grandRow="1" outline="0" fieldPosition="0"/>
    </format>
    <format dxfId="40">
      <pivotArea dataOnly="0" labelOnly="1" fieldPosition="0">
        <references count="2">
          <reference field="3" count="3">
            <x v="0"/>
            <x v="1"/>
            <x v="2"/>
          </reference>
          <reference field="4" count="1" selected="0">
            <x v="0"/>
          </reference>
        </references>
      </pivotArea>
    </format>
    <format dxfId="39">
      <pivotArea dataOnly="0" labelOnly="1" fieldPosition="0">
        <references count="2">
          <reference field="3" count="4">
            <x v="3"/>
            <x v="4"/>
            <x v="5"/>
            <x v="6"/>
          </reference>
          <reference field="4" count="1" selected="0">
            <x v="1"/>
          </reference>
        </references>
      </pivotArea>
    </format>
    <format dxfId="38">
      <pivotArea dataOnly="0" labelOnly="1" fieldPosition="0">
        <references count="2">
          <reference field="3" count="4">
            <x v="7"/>
            <x v="8"/>
            <x v="9"/>
            <x v="10"/>
          </reference>
          <reference field="4" count="1" selected="0">
            <x v="2"/>
          </reference>
        </references>
      </pivotArea>
    </format>
    <format dxfId="37">
      <pivotArea dataOnly="0" labelOnly="1" fieldPosition="0">
        <references count="2">
          <reference field="3" count="3">
            <x v="11"/>
            <x v="12"/>
            <x v="13"/>
          </reference>
          <reference field="4" count="1" selected="0">
            <x v="3"/>
          </reference>
        </references>
      </pivotArea>
    </format>
    <format dxfId="36">
      <pivotArea dataOnly="0" labelOnly="1" outline="0" fieldPosition="0">
        <references count="1">
          <reference field="4294967294" count="4">
            <x v="0"/>
            <x v="1"/>
            <x v="2"/>
            <x v="3"/>
          </reference>
        </references>
      </pivotArea>
    </format>
  </formats>
  <pivotHierarchies count="4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8"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ThoiGian]"/>
        <x15:activeTabTopLevelEntity name="[Xử lý Doanh số]"/>
        <x15:activeTabTopLevelEntity name="[Dim_NganhHang]"/>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14E8BC-14C3-4702-A92B-CDD460C834AE}" name="PivotTable12" cacheId="2" applyNumberFormats="0" applyBorderFormats="0" applyFontFormats="0" applyPatternFormats="0" applyAlignmentFormats="0" applyWidthHeightFormats="1" dataCaption="Values" tag="65b63bc3-a27c-49a2-b919-0c18323c1865" updatedVersion="8" minRefreshableVersion="3" useAutoFormatting="1" subtotalHiddenItems="1" colGrandTotals="0" itemPrintTitles="1" createdVersion="5" indent="0" outline="1" outlineData="1" multipleFieldFilters="0" chartFormat="4">
  <location ref="H35:J3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formats count="2">
    <format dxfId="1">
      <pivotArea dataOnly="0" outline="0" fieldPosition="0">
        <references count="1">
          <reference field="4294967294" count="1">
            <x v="0"/>
          </reference>
        </references>
      </pivotArea>
    </format>
    <format dxfId="0">
      <pivotArea dataOnly="0" outline="0" fieldPosition="0">
        <references count="1">
          <reference field="4294967294" count="1">
            <x v="1"/>
          </reference>
        </references>
      </pivotArea>
    </format>
  </formats>
  <conditionalFormats count="1">
    <conditionalFormat priority="21">
      <pivotAreas count="1">
        <pivotArea outline="0" fieldPosition="0">
          <references count="1">
            <reference field="4294967294" count="1">
              <x v="1"/>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367E27-BF88-4AE4-82B3-655C4D8309DF}" name="PivotTable9" cacheId="0" applyNumberFormats="0" applyBorderFormats="0" applyFontFormats="0" applyPatternFormats="0" applyAlignmentFormats="0" applyWidthHeightFormats="1" dataCaption="Values" tag="eb66649d-f1a6-4a44-9835-7d973846908a" updatedVersion="8" minRefreshableVersion="3" useAutoFormatting="1" subtotalHiddenItems="1" colGrandTotals="0" itemPrintTitles="1" createdVersion="5" indent="0" outline="1" outlineData="1" multipleFieldFilters="0" chartFormat="2">
  <location ref="B8:E23"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3">
    <format dxfId="4">
      <pivotArea dataOnly="0" outline="0" fieldPosition="0">
        <references count="1">
          <reference field="4294967294" count="1">
            <x v="1"/>
          </reference>
        </references>
      </pivotArea>
    </format>
    <format dxfId="3">
      <pivotArea dataOnly="0" outline="0" fieldPosition="0">
        <references count="1">
          <reference field="4294967294" count="1">
            <x v="2"/>
          </reference>
        </references>
      </pivotArea>
    </format>
    <format dxfId="2">
      <pivotArea dataOnly="0" outline="0" fieldPosition="0">
        <references count="1">
          <reference field="4294967294" count="1">
            <x v="0"/>
          </reference>
        </references>
      </pivotArea>
    </format>
  </formats>
  <conditionalFormats count="1">
    <conditionalFormat priority="28">
      <pivotAreas count="1">
        <pivotArea outline="0" fieldPosition="0">
          <references count="1">
            <reference field="4294967294" count="1">
              <x v="2"/>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430476-83FB-4911-A1CD-E4CD631AEF0F}" name="PivotTable16" cacheId="5" applyNumberFormats="0" applyBorderFormats="0" applyFontFormats="0" applyPatternFormats="0" applyAlignmentFormats="0" applyWidthHeightFormats="1" dataCaption="Values" tag="94501573-da8e-4709-89b0-7e09ee5fddb3" updatedVersion="8" minRefreshableVersion="3" useAutoFormatting="1" subtotalHiddenItems="1" colGrandTotals="0" itemPrintTitles="1" createdVersion="5" indent="0" compact="0" compactData="0" multipleFieldFilters="0" chartFormat="6">
  <location ref="H116:I127" firstHeaderRow="1" firstDataRow="1" firstDataCol="1" rowPageCount="2" colPageCount="1"/>
  <pivotFields count="4">
    <pivotField axis="axisPage" compact="0" allDrilled="1" outline="0" showAll="0" dataSourceSort="1" defaultSubtotal="0" defaultAttributeDrillState="1"/>
    <pivotField axis="axisRow" compact="0" allDrilled="1" outline="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compact="0" allDrilled="1" outline="0" showAll="0" dataSourceSort="1" defaultSubtotal="0" defaultAttributeDrillState="1"/>
    <pivotField dataField="1" compact="0" outline="0" subtotalTop="0" showAll="0" defaultSubtotal="0"/>
  </pivotFields>
  <rowFields count="1">
    <field x="1"/>
  </rowFields>
  <rowItems count="11">
    <i>
      <x v="8"/>
    </i>
    <i>
      <x v="6"/>
    </i>
    <i>
      <x v="4"/>
    </i>
    <i>
      <x v="9"/>
    </i>
    <i>
      <x v="3"/>
    </i>
    <i>
      <x v="5"/>
    </i>
    <i>
      <x v="7"/>
    </i>
    <i>
      <x v="2"/>
    </i>
    <i>
      <x/>
    </i>
    <i>
      <x v="1"/>
    </i>
    <i t="grand">
      <x/>
    </i>
  </rowItems>
  <colItems count="1">
    <i/>
  </colItems>
  <pageFields count="2">
    <pageField fld="0" hier="12" name="[Xử_lý_tồn_kho_tháng_7].[Danh mục].[All]" cap="All"/>
    <pageField fld="2" hier="21" name="[Xử_lý_tồn_kho_tháng_7].[Flag tồn kho].&amp;[Đã kiểm kê]" cap="Đã kiểm kê"/>
  </pageFields>
  <dataFields count="1">
    <dataField fld="3" subtotal="count" baseField="0" baseItem="0" numFmtId="2"/>
  </dataFields>
  <formats count="4">
    <format dxfId="8">
      <pivotArea outline="0" fieldPosition="0">
        <references count="1">
          <reference field="1" count="0" selected="0"/>
        </references>
      </pivotArea>
    </format>
    <format dxfId="7">
      <pivotArea dataOnly="0" outline="0" axis="axisValues" fieldPosition="0"/>
    </format>
    <format dxfId="6">
      <pivotArea outline="0" collapsedLevelsAreSubtotals="1" fieldPosition="0"/>
    </format>
    <format dxfId="5">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Xử_lý_tồn_kho_tháng_7].[Flag tồn kho].&amp;[Đã kiểm kê]"/>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0">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664822-EC27-407D-B131-833574B7E8AB}" name="PivotTable8" cacheId="1" applyNumberFormats="0" applyBorderFormats="0" applyFontFormats="0" applyPatternFormats="0" applyAlignmentFormats="0" applyWidthHeightFormats="1" dataCaption="Values" tag="4a9c8d43-c158-4e1e-bcc2-5dc57e30dd33" updatedVersion="8" minRefreshableVersion="3" useAutoFormatting="1" subtotalHiddenItems="1" colGrandTotals="0" itemPrintTitles="1" createdVersion="5" indent="0" compact="0" compactData="0" multipleFieldFilters="0">
  <location ref="B30:E49" firstHeaderRow="0" firstDataRow="1" firstDataCol="1" rowPageCount="2" colPageCount="1"/>
  <pivotFields count="6">
    <pivotField axis="axisPage" compact="0" allDrilled="1" outline="0" showAll="0" dataSourceSort="1" defaultSubtotal="0" defaultAttributeDrillState="1"/>
    <pivotField axis="axisRow" compact="0" allDrilled="1" outline="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howAll="0" defaultSubtotal="0"/>
    <pivotField dataField="1" compact="0" outline="0" showAll="0" defaultSubtotal="0"/>
    <pivotField dataField="1" compact="0" outline="0" showAll="0" defaultSubtotal="0"/>
    <pivotField axis="axisPage" compact="0" allDrilled="1" outline="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3">
    <i>
      <x/>
    </i>
    <i i="1">
      <x v="1"/>
    </i>
    <i i="2">
      <x v="2"/>
    </i>
  </colItems>
  <pageFields count="2">
    <pageField fld="0" hier="12" name="[Xử_lý_tồn_kho_tháng_7].[Danh mục].&amp;[MACBOOK CŨ]" cap="MACBOOK CŨ"/>
    <pageField fld="5" hier="21" name="[Xử_lý_tồn_kho_tháng_7].[Flag tồn kho].&amp;[Đã kiểm kê]" cap="Đã kiểm kê"/>
  </pageFields>
  <dataFields count="3">
    <dataField fld="2" subtotal="count" baseField="0" baseItem="0"/>
    <dataField fld="3" subtotal="count" baseField="0" baseItem="0"/>
    <dataField fld="4" subtotal="count" baseField="0" baseItem="0"/>
  </dataFields>
  <formats count="3">
    <format dxfId="11">
      <pivotArea dataOnly="0" outline="0" fieldPosition="0">
        <references count="1">
          <reference field="4294967294" count="1">
            <x v="1"/>
          </reference>
        </references>
      </pivotArea>
    </format>
    <format dxfId="10">
      <pivotArea dataOnly="0" outline="0" fieldPosition="0">
        <references count="1">
          <reference field="4294967294" count="1">
            <x v="2"/>
          </reference>
        </references>
      </pivotArea>
    </format>
    <format dxfId="9">
      <pivotArea dataOnly="0" outline="0" fieldPosition="0">
        <references count="1">
          <reference field="4294967294" count="1">
            <x v="0"/>
          </reference>
        </references>
      </pivotArea>
    </format>
  </formats>
  <conditionalFormats count="5">
    <conditionalFormat priority="27">
      <pivotAreas count="1">
        <pivotArea outline="0" fieldPosition="0">
          <references count="1">
            <reference field="4294967294" count="1">
              <x v="2"/>
            </reference>
          </references>
        </pivotArea>
      </pivotAreas>
    </conditionalFormat>
    <conditionalFormat priority="26">
      <pivotAreas count="1">
        <pivotArea outline="0" fieldPosition="0">
          <references count="1">
            <reference field="4294967294" count="1">
              <x v="2"/>
            </reference>
          </references>
        </pivotArea>
      </pivotAreas>
    </conditionalFormat>
    <conditionalFormat priority="25">
      <pivotAreas count="1">
        <pivotArea outline="0" fieldPosition="0">
          <references count="1">
            <reference field="4294967294" count="1">
              <x v="2"/>
            </reference>
          </references>
        </pivotArea>
      </pivotAreas>
    </conditionalFormat>
    <conditionalFormat priority="24">
      <pivotAreas count="1">
        <pivotArea outline="0" fieldPosition="0">
          <references count="1">
            <reference field="4294967294" count="1">
              <x v="2"/>
            </reference>
          </references>
        </pivotArea>
      </pivotAreas>
    </conditionalFormat>
    <conditionalFormat priority="23">
      <pivotAreas count="1">
        <pivotArea outline="0" fieldPosition="0">
          <references count="1">
            <reference field="4294967294" count="1">
              <x v="2"/>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Xử_lý_tồn_kho_tháng_7].[Flag tồn kho].&amp;[Đã kiểm kê]"/>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5"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186BC2-71AD-4F28-8471-5CF78950AA8F}" name="PivotTable15" cacheId="4" applyNumberFormats="0" applyBorderFormats="0" applyFontFormats="0" applyPatternFormats="0" applyAlignmentFormats="0" applyWidthHeightFormats="1" dataCaption="Values" tag="af6d2e33-bcc4-4c4c-8f8f-eaff545031d6" updatedVersion="8" minRefreshableVersion="3" useAutoFormatting="1" subtotalHiddenItems="1" colGrandTotals="0" itemPrintTitles="1" createdVersion="5" indent="0" compact="0" compactData="0" multipleFieldFilters="0" chartFormat="6">
  <location ref="H93:I104" firstHeaderRow="1" firstDataRow="1" firstDataCol="1" rowPageCount="2" colPageCount="1"/>
  <pivotFields count="4">
    <pivotField axis="axisPage" compact="0" allDrilled="1" outline="0" showAll="0" dataSourceSort="1" defaultSubtotal="0" defaultAttributeDrillState="1"/>
    <pivotField axis="axisRow" compact="0" allDrilled="1" outline="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howAll="0" defaultSubtotal="0"/>
    <pivotField axis="axisPage" compact="0" allDrilled="1" outline="0" showAll="0" dataSourceSort="1" defaultSubtotal="0" defaultAttributeDrillState="1"/>
  </pivotFields>
  <rowFields count="1">
    <field x="1"/>
  </rowFields>
  <rowItems count="11">
    <i>
      <x v="6"/>
    </i>
    <i>
      <x/>
    </i>
    <i>
      <x v="2"/>
    </i>
    <i>
      <x v="8"/>
    </i>
    <i>
      <x v="5"/>
    </i>
    <i>
      <x v="4"/>
    </i>
    <i>
      <x v="3"/>
    </i>
    <i>
      <x v="7"/>
    </i>
    <i>
      <x v="1"/>
    </i>
    <i>
      <x v="9"/>
    </i>
    <i t="grand">
      <x/>
    </i>
  </rowItems>
  <colItems count="1">
    <i/>
  </colItems>
  <pageFields count="2">
    <pageField fld="0" hier="12" name="[Xử_lý_tồn_kho_tháng_7].[Danh mục].[All]" cap="All"/>
    <pageField fld="3" hier="21" name="[Xử_lý_tồn_kho_tháng_7].[Flag tồn kho].&amp;[Đã kiểm kê]" cap="Đã kiểm kê"/>
  </pageFields>
  <dataFields count="1">
    <dataField fld="2" subtotal="count" baseField="0" baseItem="0"/>
  </dataFields>
  <formats count="1">
    <format dxfId="12">
      <pivotArea dataOnly="0" outline="0" fieldPosition="0">
        <references count="1">
          <reference field="4294967294" count="1">
            <x v="0"/>
          </reference>
        </references>
      </pivotArea>
    </format>
  </formats>
  <conditionalFormats count="5">
    <conditionalFormat priority="10">
      <pivotAreas count="1">
        <pivotArea outline="0" fieldPosition="0">
          <references count="1">
            <reference field="4294967294" count="1">
              <x v="0"/>
            </reference>
          </references>
        </pivotArea>
      </pivotAreas>
    </conditionalFormat>
    <conditionalFormat priority="9">
      <pivotAreas count="1">
        <pivotArea outline="0" fieldPosition="0">
          <references count="1">
            <reference field="4294967294" count="1">
              <x v="0"/>
            </reference>
          </references>
        </pivotArea>
      </pivotAreas>
    </conditionalFormat>
    <conditionalFormat priority="8">
      <pivotAreas count="1">
        <pivotArea outline="0" fieldPosition="0">
          <references count="1">
            <reference field="4294967294" count="1">
              <x v="0"/>
            </reference>
          </references>
        </pivotArea>
      </pivotAreas>
    </conditionalFormat>
    <conditionalFormat priority="7">
      <pivotAreas count="1">
        <pivotArea outline="0" fieldPosition="0">
          <references count="1">
            <reference field="4294967294" count="1">
              <x v="0"/>
            </reference>
          </references>
        </pivotArea>
      </pivotAreas>
    </conditionalFormat>
    <conditionalFormat priority="6">
      <pivotAreas count="1">
        <pivotArea outline="0" fieldPosition="0">
          <references count="1">
            <reference field="4294967294" count="1">
              <x v="0"/>
            </reference>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Xử_lý_tồn_kho_tháng_7].[Flag tồn kho].&amp;[Đã kiểm kê]"/>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32">
      <autoFilter ref="A1">
        <filterColumn colId="0">
          <top10 top="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4BD095-2B53-46E4-B58A-ADA182605818}" name="PivotTable13" cacheId="3" applyNumberFormats="0" applyBorderFormats="0" applyFontFormats="0" applyPatternFormats="0" applyAlignmentFormats="0" applyWidthHeightFormats="1" dataCaption="Values" tag="7eaccfb7-55c9-4b4e-af5d-446ac306010c" updatedVersion="8" minRefreshableVersion="3" useAutoFormatting="1" subtotalHiddenItems="1" colGrandTotals="0" itemPrintTitles="1" createdVersion="5" indent="0" compact="0" compactData="0" multipleFieldFilters="0" chartFormat="5">
  <location ref="H62:J73" firstHeaderRow="0" firstDataRow="1" firstDataCol="1" rowPageCount="2" colPageCount="1"/>
  <pivotFields count="5">
    <pivotField axis="axisPage" compact="0" allDrilled="1" outline="0" showAll="0" dataSourceSort="1" defaultSubtotal="0" defaultAttributeDrillState="1"/>
    <pivotField axis="axisRow" compact="0" allDrilled="1" outline="0" showAll="0" measureFilter="1" sortType="descending" dataSourceSort="1"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compact="0" outline="0" showAll="0" defaultSubtotal="0"/>
    <pivotField dataField="1" compact="0" outline="0" showAll="0" defaultSubtotal="0"/>
    <pivotField axis="axisPage" compact="0" allDrilled="1" outline="0" showAll="0" dataSourceSort="1" defaultSubtotal="0" defaultAttributeDrillState="1"/>
  </pivotFields>
  <rowFields count="1">
    <field x="1"/>
  </rowFields>
  <rowItems count="11">
    <i>
      <x v="9"/>
    </i>
    <i>
      <x v="7"/>
    </i>
    <i>
      <x v="5"/>
    </i>
    <i>
      <x v="2"/>
    </i>
    <i>
      <x v="3"/>
    </i>
    <i>
      <x v="8"/>
    </i>
    <i>
      <x v="1"/>
    </i>
    <i>
      <x v="6"/>
    </i>
    <i>
      <x v="4"/>
    </i>
    <i>
      <x/>
    </i>
    <i t="grand">
      <x/>
    </i>
  </rowItems>
  <colFields count="1">
    <field x="-2"/>
  </colFields>
  <colItems count="2">
    <i>
      <x/>
    </i>
    <i i="1">
      <x v="1"/>
    </i>
  </colItems>
  <pageFields count="2">
    <pageField fld="0" hier="12" name="[Xử_lý_tồn_kho_tháng_7].[Danh mục].[All]" cap="All"/>
    <pageField fld="4" hier="21" name="[Xử_lý_tồn_kho_tháng_7].[Flag tồn kho].&amp;[Đã kiểm kê]" cap="Đã kiểm kê"/>
  </pageFields>
  <dataFields count="2">
    <dataField fld="2" subtotal="count" baseField="0" baseItem="0"/>
    <dataField fld="3" subtotal="count" baseField="0" baseItem="0"/>
  </dataFields>
  <formats count="2">
    <format dxfId="14">
      <pivotArea dataOnly="0" outline="0" fieldPosition="0">
        <references count="1">
          <reference field="4294967294" count="1">
            <x v="1"/>
          </reference>
        </references>
      </pivotArea>
    </format>
    <format dxfId="13">
      <pivotArea dataOnly="0" outline="0" fieldPosition="0">
        <references count="1">
          <reference field="4294967294" count="1">
            <x v="0"/>
          </reference>
        </references>
      </pivotArea>
    </format>
  </formats>
  <conditionalFormats count="5">
    <conditionalFormat priority="20">
      <pivotAreas count="1">
        <pivotArea outline="0" fieldPosition="0">
          <references count="1">
            <reference field="4294967294" count="1">
              <x v="1"/>
            </reference>
          </references>
        </pivotArea>
      </pivotAreas>
    </conditionalFormat>
    <conditionalFormat priority="19">
      <pivotAreas count="1">
        <pivotArea outline="0" fieldPosition="0">
          <references count="1">
            <reference field="4294967294" count="1">
              <x v="1"/>
            </reference>
          </references>
        </pivotArea>
      </pivotAreas>
    </conditionalFormat>
    <conditionalFormat priority="18">
      <pivotAreas count="1">
        <pivotArea outline="0" fieldPosition="0">
          <references count="1">
            <reference field="4294967294" count="1">
              <x v="1"/>
            </reference>
          </references>
        </pivotArea>
      </pivotAreas>
    </conditionalFormat>
    <conditionalFormat priority="17">
      <pivotAreas count="1">
        <pivotArea outline="0" fieldPosition="0">
          <references count="1">
            <reference field="4294967294" count="1">
              <x v="1"/>
            </reference>
          </references>
        </pivotArea>
      </pivotAreas>
    </conditionalFormat>
    <conditionalFormat priority="16">
      <pivotAreas count="1">
        <pivotArea outline="0" fieldPosition="0">
          <references count="1">
            <reference field="4294967294" count="1">
              <x v="1"/>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Xử_lý_tồn_kho_tháng_7].[Flag tồn kho].&amp;[Đã kiểm kê]"/>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F882F6-C4EF-4ED5-B83E-BDA423F58032}" name="PivotTable11" cacheId="11" applyNumberFormats="0" applyBorderFormats="0" applyFontFormats="0" applyPatternFormats="0" applyAlignmentFormats="0" applyWidthHeightFormats="1" dataCaption="Values" tag="edd1cee8-0dca-4db0-9981-878a51370d84" updatedVersion="8" minRefreshableVersion="3" useAutoFormatting="1" subtotalHiddenItems="1" colGrandTotals="0" itemPrintTitles="1" createdVersion="5" indent="0" outline="1" outlineData="1" multipleFieldFilters="0" chartFormat="3">
  <location ref="H8:J22" firstHeaderRow="0" firstDataRow="1" firstDataCol="1"/>
  <pivotFields count="3">
    <pivotField axis="axisRow" allDrilled="1" subtotalTop="0" showAll="0" sortType="descending" dataSourceSort="1" defaultSubtotal="0" defaultAttributeDrillState="1">
      <items count="13">
        <item s="1" x="0"/>
        <item s="1" x="1"/>
        <item s="1" x="2"/>
        <item s="1" x="3"/>
        <item s="1" x="4"/>
        <item s="1" x="5"/>
        <item s="1" x="6"/>
        <item s="1" x="7"/>
        <item s="1" x="8"/>
        <item s="1" x="9"/>
        <item s="1" x="10"/>
        <item s="1" x="11"/>
        <item s="1" x="1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4">
    <i>
      <x v="4"/>
    </i>
    <i>
      <x v="10"/>
    </i>
    <i>
      <x v="6"/>
    </i>
    <i>
      <x/>
    </i>
    <i>
      <x v="7"/>
    </i>
    <i>
      <x v="8"/>
    </i>
    <i>
      <x v="12"/>
    </i>
    <i>
      <x v="9"/>
    </i>
    <i>
      <x v="11"/>
    </i>
    <i>
      <x v="3"/>
    </i>
    <i>
      <x v="2"/>
    </i>
    <i>
      <x v="1"/>
    </i>
    <i>
      <x v="5"/>
    </i>
    <i t="grand">
      <x/>
    </i>
  </rowItems>
  <colFields count="1">
    <field x="-2"/>
  </colFields>
  <colItems count="2">
    <i>
      <x/>
    </i>
    <i i="1">
      <x v="1"/>
    </i>
  </colItems>
  <dataFields count="2">
    <dataField fld="1" subtotal="count" baseField="0" baseItem="0"/>
    <dataField fld="2" subtotal="count" baseField="0" baseItem="0"/>
  </dataFields>
  <formats count="2">
    <format dxfId="16">
      <pivotArea dataOnly="0" outline="0" fieldPosition="0">
        <references count="1">
          <reference field="4294967294" count="1">
            <x v="0"/>
          </reference>
        </references>
      </pivotArea>
    </format>
    <format dxfId="15">
      <pivotArea dataOnly="0" outline="0" fieldPosition="0">
        <references count="1">
          <reference field="4294967294" count="1">
            <x v="1"/>
          </reference>
        </references>
      </pivotArea>
    </format>
  </formats>
  <conditionalFormats count="1">
    <conditionalFormat priority="22">
      <pivotAreas count="1">
        <pivotArea outline="0" fieldPosition="0">
          <references count="1">
            <reference field="4294967294" count="1">
              <x v="1"/>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ử_lý_tồn_kho_tháng_7]"/>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48476A-210D-4B3C-A7DD-27ACB45B98AC}" autoFormatId="16" applyNumberFormats="0" applyBorderFormats="0" applyFontFormats="0" applyPatternFormats="0" applyAlignmentFormats="0" applyWidthHeightFormats="0">
  <queryTableRefresh nextId="11">
    <queryTableFields count="4">
      <queryTableField id="1" name="PIC" tableColumnId="1"/>
      <queryTableField id="2" name="Ngành hàng" tableColumnId="2"/>
      <queryTableField id="9" name="Tháng" tableColumnId="3"/>
      <queryTableField id="10" name="Targe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95D47AF3-A7B4-40C2-878F-2CAF810D294C}" autoFormatId="16" applyNumberFormats="0" applyBorderFormats="0" applyFontFormats="0" applyPatternFormats="0" applyAlignmentFormats="0" applyWidthHeightFormats="0">
  <queryTableRefresh nextId="11">
    <queryTableFields count="10">
      <queryTableField id="1" name="Danh mục" tableColumnId="1"/>
      <queryTableField id="2" name="Tên sản phẩm" tableColumnId="2"/>
      <queryTableField id="3" name="Giá bán" tableColumnId="3"/>
      <queryTableField id="4" name="Tồn có thể bán" tableColumnId="4"/>
      <queryTableField id="5" name="Số bán hôm qua" tableColumnId="5"/>
      <queryTableField id="6" name="Số bán 3 ngày qua" tableColumnId="6"/>
      <queryTableField id="7" name="Số bán 7 ngày qua" tableColumnId="7"/>
      <queryTableField id="8" name="Số nhập hôm qua" tableColumnId="8"/>
      <queryTableField id="9" name="Số nhập 7 ngày qua" tableColumnId="9"/>
      <queryTableField id="10" name="Flag tồn kho"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26B19AFB-25FC-4689-AE27-5F8D46A2D1DE}" sourceName="[Dim_ThoiGian].[Tháng]">
  <pivotTables>
    <pivotTable tabId="13" name="PivotTable3"/>
    <pivotTable tabId="13" name="PivotTable1"/>
    <pivotTable tabId="13" name="PivotTable4"/>
    <pivotTable tabId="13" name="PivotTable5"/>
    <pivotTable tabId="14" name="PivotTable7"/>
  </pivotTables>
  <data>
    <olap pivotCacheId="234033924">
      <levels count="2">
        <level uniqueName="[Dim_ThoiGian].[Tháng].[(All)]" sourceCaption="(All)" count="0"/>
        <level uniqueName="[Dim_ThoiGian].[Tháng].[Tháng]" sourceCaption="Tháng" count="3">
          <ranges>
            <range startItem="0">
              <i n="[Dim_ThoiGian].[Tháng].&amp;[Tháng 4]" c="Tháng 4"/>
              <i n="[Dim_ThoiGian].[Tháng].&amp;[Tháng 5]" c="Tháng 5"/>
              <i n="[Dim_ThoiGian].[Tháng].&amp;[Tháng 6]" c="Tháng 6"/>
            </range>
          </ranges>
        </level>
      </levels>
      <selections count="1">
        <selection n="[Dim_ThoiGian].[Thá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AD76DD5F-6072-47A5-92D1-97E9772BE41D}" sourceName="[Dim_NganhHang].[PIC]">
  <pivotTables>
    <pivotTable tabId="13" name="PivotTable3"/>
    <pivotTable tabId="13" name="PivotTable1"/>
    <pivotTable tabId="13" name="PivotTable4"/>
    <pivotTable tabId="13" name="PivotTable5"/>
    <pivotTable tabId="14" name="PivotTable7"/>
  </pivotTables>
  <data>
    <olap pivotCacheId="234033924">
      <levels count="2">
        <level uniqueName="[Dim_NganhHang].[PIC].[(All)]" sourceCaption="(All)" count="0"/>
        <level uniqueName="[Dim_NganhHang].[PIC].[PIC]" sourceCaption="PIC" count="4">
          <ranges>
            <range startItem="0">
              <i n="[Dim_NganhHang].[PIC].&amp;[LAN]" c="LAN"/>
              <i n="[Dim_NganhHang].[PIC].&amp;[MINH]" c="MINH"/>
              <i n="[Dim_NganhHang].[PIC].&amp;[NAM]" c="NAM"/>
              <i n="[Dim_NganhHang].[PIC].&amp;[SANG]" c="SANG"/>
            </range>
          </ranges>
        </level>
      </levels>
      <selections count="1">
        <selection n="[Dim_NganhHang].[PI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xr10:uid="{6112F4A6-FDEE-46F0-8D8F-8861CE414BCC}" cache="Slicer_Tháng" caption="Tháng" columnCount="3" level="1" rowHeight="234950"/>
  <slicer name="PIC" xr10:uid="{CA55941F-7E0D-4E3B-8E00-0231A2ADB97E}" cache="Slicer_PIC" caption="PIC" columnCount="4"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903">
  <autoFilter ref="A1:I903" xr:uid="{F2C33E78-3BF8-4A8A-AD00-018C1C67E1F5}"/>
  <tableColumns count="9">
    <tableColumn id="2" xr3:uid="{00000000-0010-0000-0000-000002000000}" name="Danh mục"/>
    <tableColumn id="3" xr3:uid="{00000000-0010-0000-0000-000003000000}" name="Tên sản phẩm"/>
    <tableColumn id="4" xr3:uid="{00000000-0010-0000-0000-000004000000}" name="Tồn có thể bán"/>
    <tableColumn id="5" xr3:uid="{00000000-0010-0000-0000-000005000000}" name="Giá bán"/>
    <tableColumn id="8" xr3:uid="{00000000-0010-0000-0000-000008000000}" name="Số bán hôm qua"/>
    <tableColumn id="9" xr3:uid="{00000000-0010-0000-0000-000009000000}" name="Số bán 3 ngày qua"/>
    <tableColumn id="10" xr3:uid="{00000000-0010-0000-0000-00000A000000}" name="Số bán 7 ngày qua"/>
    <tableColumn id="14" xr3:uid="{00000000-0010-0000-0000-00000E000000}" name="Số nhập hôm qua"/>
    <tableColumn id="15" xr3:uid="{00000000-0010-0000-0000-00000F000000}" name="Số nhập 7 ngày qu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E53C5-E3AF-431C-913F-803C34DECC74}" name="Table2" displayName="Table2" ref="A1:E15" totalsRowShown="0" dataDxfId="69" dataCellStyle="Comma">
  <autoFilter ref="A1:E15" xr:uid="{7C0E53C5-E3AF-431C-913F-803C34DECC74}"/>
  <tableColumns count="5">
    <tableColumn id="1" xr3:uid="{64D55E6B-B3CE-4FF8-BEB5-E72D9C74C5B7}" name="Danh mục"/>
    <tableColumn id="2" xr3:uid="{83887EC1-22E6-4324-AA3C-A176E9E83BC8}" name="Giá bán bình quân" dataDxfId="68" dataCellStyle="Comma"/>
    <tableColumn id="3" xr3:uid="{EE3A7989-C205-4D86-90FE-68E91D443548}" name="Doanh số tháng 6" dataDxfId="67" dataCellStyle="Comma"/>
    <tableColumn id="4" xr3:uid="{2CADD23C-E3D9-451F-A0CA-5A7BEE669610}" name="Doanh số tháng 5" dataDxfId="66" dataCellStyle="Comma"/>
    <tableColumn id="5" xr3:uid="{06591E60-5549-4E38-AB3B-B4D78116D565}" name="Doanh số tháng 4" dataDxfId="65"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EA2F74-0EC7-4CEE-ACC9-E40EE7B5D816}" name="Target" displayName="Target" ref="A1:D43" tableType="queryTable" totalsRowShown="0">
  <autoFilter ref="A1:D43" xr:uid="{39EA2F74-0EC7-4CEE-ACC9-E40EE7B5D816}"/>
  <tableColumns count="4">
    <tableColumn id="1" xr3:uid="{4DCBE71A-7613-4C84-B31E-E8265D175720}" uniqueName="1" name="PIC" queryTableFieldId="1" dataDxfId="64"/>
    <tableColumn id="2" xr3:uid="{7C944FBA-FCA5-4C12-AFED-22A8ACC425B6}" uniqueName="2" name="Ngành hàng" queryTableFieldId="2" dataDxfId="63"/>
    <tableColumn id="3" xr3:uid="{1315E949-6B82-4568-B70F-6979E6C11185}" uniqueName="3" name="Tháng" queryTableFieldId="9" dataDxfId="62"/>
    <tableColumn id="4" xr3:uid="{D075D2AE-E8DA-47E9-A0C0-D75D6A4E9B11}" uniqueName="4" name="Target"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F00590-4511-447C-993A-695EA0CDFB2E}" name="Table7" displayName="Table7" ref="A1:B15" totalsRowShown="0">
  <autoFilter ref="A1:B15" xr:uid="{9FF00590-4511-447C-993A-695EA0CDFB2E}"/>
  <sortState xmlns:xlrd2="http://schemas.microsoft.com/office/spreadsheetml/2017/richdata2" ref="A2:B15">
    <sortCondition ref="A2:A15"/>
  </sortState>
  <tableColumns count="2">
    <tableColumn id="1" xr3:uid="{6C0F23C3-848E-4C84-8796-D2562CFF7C99}" name="PIC"/>
    <tableColumn id="2" xr3:uid="{3292E9AA-2AE9-4949-93D3-C95106452650}" name="Ngành hà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DAF736-A16F-47FD-BFB5-8A5A990C81C7}" name="Table6" displayName="Table6" ref="A1:B4" totalsRowShown="0">
  <autoFilter ref="A1:B4" xr:uid="{58DAF736-A16F-47FD-BFB5-8A5A990C81C7}"/>
  <tableColumns count="2">
    <tableColumn id="1" xr3:uid="{67806829-6F29-4898-9154-660C582B33C2}" name="Tháng"/>
    <tableColumn id="2" xr3:uid="{C726443B-E681-46D1-8008-3733DEFE9ABD}" name="Quý"/>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5C1776-8929-4672-8430-77FA4767D0C1}" name="Xử_lý_tồn_kho_tháng_7" displayName="Xử_lý_tồn_kho_tháng_7" ref="A1:J898" tableType="queryTable" totalsRowShown="0">
  <autoFilter ref="A1:J898" xr:uid="{DF5C1776-8929-4672-8430-77FA4767D0C1}"/>
  <tableColumns count="10">
    <tableColumn id="1" xr3:uid="{6433AEBD-B3A7-4156-9D13-8CABCF0C998D}" uniqueName="1" name="Danh mục" queryTableFieldId="1"/>
    <tableColumn id="2" xr3:uid="{B9EAB843-DA7C-4CDE-8C37-8B3A2EF67958}" uniqueName="2" name="Tên sản phẩm" queryTableFieldId="2" dataDxfId="35"/>
    <tableColumn id="3" xr3:uid="{41EB636E-0DAD-4790-91CF-132183C0EDD9}" uniqueName="3" name="Giá bán" queryTableFieldId="3"/>
    <tableColumn id="4" xr3:uid="{297D123F-6F7F-4A7E-A33B-8166EBAE6384}" uniqueName="4" name="Tồn có thể bán" queryTableFieldId="4"/>
    <tableColumn id="5" xr3:uid="{6387D1A2-AC30-4367-B401-F68464AC0B4F}" uniqueName="5" name="Số bán hôm qua" queryTableFieldId="5"/>
    <tableColumn id="6" xr3:uid="{C9751133-951E-41F8-BB3C-3CF31A3FBEAA}" uniqueName="6" name="Số bán 3 ngày qua" queryTableFieldId="6"/>
    <tableColumn id="7" xr3:uid="{BD99EB28-D546-49A9-82E2-A0D5AC48B00E}" uniqueName="7" name="Số bán 7 ngày qua" queryTableFieldId="7"/>
    <tableColumn id="8" xr3:uid="{071D8A64-DE16-49BB-9DA7-848788ACE2C3}" uniqueName="8" name="Số nhập hôm qua" queryTableFieldId="8"/>
    <tableColumn id="9" xr3:uid="{9EBD80F9-CAEB-499F-8C22-844BDD689E69}" uniqueName="9" name="Số nhập 7 ngày qua" queryTableFieldId="9"/>
    <tableColumn id="10" xr3:uid="{B028FEB8-D38D-44C7-B6F2-D31752E16307}" uniqueName="10" name="Flag tồn kho"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B13FB9-C97E-4FE1-82AB-E13BD58FE151}" name="Table15" displayName="Table15" ref="A1:I903">
  <autoFilter ref="A1:I903" xr:uid="{F2C33E78-3BF8-4A8A-AD00-018C1C67E1F5}"/>
  <tableColumns count="9">
    <tableColumn id="2" xr3:uid="{08001A85-52ED-4906-93E1-90F192E551F9}" name="Danh mục"/>
    <tableColumn id="3" xr3:uid="{4172B1FD-DF94-4F76-B5CD-9D54C17D7A08}" name="Tên sản phẩm"/>
    <tableColumn id="4" xr3:uid="{20C792A1-A165-45FC-8FC2-F8DE863758A5}" name="Tồn có thể bán"/>
    <tableColumn id="5" xr3:uid="{90294EB8-FCC1-4D97-8C11-7C69E7377891}" name="Giá bán"/>
    <tableColumn id="8" xr3:uid="{6B7F8956-8E78-4B71-84F3-8B18C8DF4832}" name="Số bán hôm qua"/>
    <tableColumn id="9" xr3:uid="{C611829B-E2B7-4C37-B91C-400E4CABECBC}" name="Số bán 3 ngày qua"/>
    <tableColumn id="10" xr3:uid="{BBA9AAB4-EE98-44E7-A2AB-3864A79C84FC}" name="Số bán 7 ngày qua"/>
    <tableColumn id="14" xr3:uid="{60996D02-77A4-4B85-8B64-C9AECE6DDF08}" name="Số nhập hôm qua"/>
    <tableColumn id="15" xr3:uid="{521CB238-3C06-4D24-8036-8FC1B07920EA}" name="Số nhập 7 ngày qu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google.com/spreadsheets/d/1GrYfHlSVsLck-Q2CH4x9MuEhc5MjCouk1L8XyczdZCc/edit?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A1:I903"/>
  <sheetViews>
    <sheetView workbookViewId="0">
      <selection activeCell="C10" sqref="C10"/>
    </sheetView>
  </sheetViews>
  <sheetFormatPr defaultRowHeight="14.4" x14ac:dyDescent="0.3"/>
  <cols>
    <col min="1" max="1" width="16.33203125" bestFit="1" customWidth="1"/>
    <col min="2" max="2" width="53.77734375" customWidth="1"/>
    <col min="3" max="3" width="16.21875" bestFit="1" customWidth="1"/>
    <col min="4" max="4" width="10.109375" bestFit="1" customWidth="1"/>
    <col min="5" max="5" width="17.33203125" bestFit="1" customWidth="1"/>
    <col min="6" max="7" width="16.77734375" bestFit="1" customWidth="1"/>
    <col min="8" max="8" width="16.21875" bestFit="1" customWidth="1"/>
    <col min="9" max="9" width="18" bestFit="1" customWidth="1"/>
    <col min="10" max="10" width="7.77734375" bestFit="1" customWidth="1"/>
    <col min="11" max="11" width="13.109375" bestFit="1" customWidth="1"/>
    <col min="12" max="12" width="5.6640625" bestFit="1" customWidth="1"/>
    <col min="13" max="14" width="5.77734375" bestFit="1" customWidth="1"/>
    <col min="15" max="15" width="6.77734375" bestFit="1" customWidth="1"/>
    <col min="16" max="16" width="131.6640625" bestFit="1" customWidth="1"/>
  </cols>
  <sheetData>
    <row r="1" spans="1:9" x14ac:dyDescent="0.3">
      <c r="A1" t="s">
        <v>819</v>
      </c>
      <c r="B1" t="s">
        <v>811</v>
      </c>
      <c r="C1" t="s">
        <v>818</v>
      </c>
      <c r="D1" t="s">
        <v>812</v>
      </c>
      <c r="E1" t="s">
        <v>813</v>
      </c>
      <c r="F1" t="s">
        <v>814</v>
      </c>
      <c r="G1" t="s">
        <v>815</v>
      </c>
      <c r="H1" t="s">
        <v>816</v>
      </c>
      <c r="I1" t="s">
        <v>817</v>
      </c>
    </row>
    <row r="2" spans="1:9" x14ac:dyDescent="0.3">
      <c r="A2" t="s">
        <v>10</v>
      </c>
      <c r="B2" t="s">
        <v>11</v>
      </c>
      <c r="C2" s="1">
        <v>154</v>
      </c>
      <c r="D2" s="1">
        <v>15000000</v>
      </c>
      <c r="E2" s="1">
        <v>15</v>
      </c>
      <c r="F2" s="1">
        <v>42</v>
      </c>
      <c r="G2" s="1">
        <v>101</v>
      </c>
      <c r="H2" s="1">
        <v>16</v>
      </c>
      <c r="I2" s="1">
        <v>31</v>
      </c>
    </row>
    <row r="3" spans="1:9" x14ac:dyDescent="0.3">
      <c r="A3" t="s">
        <v>10</v>
      </c>
      <c r="B3" t="s">
        <v>34</v>
      </c>
      <c r="C3" s="1">
        <v>85</v>
      </c>
      <c r="D3" s="1">
        <v>12400000</v>
      </c>
      <c r="E3" s="1">
        <v>5</v>
      </c>
      <c r="F3" s="1">
        <v>20</v>
      </c>
      <c r="G3" s="1">
        <v>42</v>
      </c>
      <c r="H3" s="1">
        <v>29</v>
      </c>
      <c r="I3" s="1">
        <v>55</v>
      </c>
    </row>
    <row r="4" spans="1:9" x14ac:dyDescent="0.3">
      <c r="A4" t="s">
        <v>10</v>
      </c>
      <c r="B4" t="s">
        <v>48</v>
      </c>
      <c r="C4" s="1">
        <v>101</v>
      </c>
      <c r="D4" s="1">
        <v>6400000</v>
      </c>
      <c r="E4" s="1">
        <v>5</v>
      </c>
      <c r="F4" s="1">
        <v>16</v>
      </c>
      <c r="G4" s="1">
        <v>35</v>
      </c>
      <c r="H4" s="1">
        <v>4</v>
      </c>
      <c r="I4" s="1">
        <v>4</v>
      </c>
    </row>
    <row r="5" spans="1:9" x14ac:dyDescent="0.3">
      <c r="A5" t="s">
        <v>10</v>
      </c>
      <c r="B5" t="s">
        <v>53</v>
      </c>
      <c r="C5" s="1">
        <v>59</v>
      </c>
      <c r="D5" s="1">
        <v>17000000</v>
      </c>
      <c r="E5" s="1">
        <v>2</v>
      </c>
      <c r="F5" s="1">
        <v>9</v>
      </c>
      <c r="G5" s="1">
        <v>21</v>
      </c>
      <c r="H5" s="1"/>
      <c r="I5" s="1"/>
    </row>
    <row r="6" spans="1:9" x14ac:dyDescent="0.3">
      <c r="A6" t="s">
        <v>10</v>
      </c>
      <c r="B6" t="s">
        <v>56</v>
      </c>
      <c r="C6" s="1">
        <v>41</v>
      </c>
      <c r="D6" s="1">
        <v>16400000</v>
      </c>
      <c r="E6" s="1">
        <v>2</v>
      </c>
      <c r="F6" s="1">
        <v>4</v>
      </c>
      <c r="G6" s="1">
        <v>15</v>
      </c>
      <c r="H6" s="1"/>
      <c r="I6" s="1">
        <v>16</v>
      </c>
    </row>
    <row r="7" spans="1:9" x14ac:dyDescent="0.3">
      <c r="A7" t="s">
        <v>10</v>
      </c>
      <c r="B7" t="s">
        <v>59</v>
      </c>
      <c r="C7" s="1">
        <v>11</v>
      </c>
      <c r="D7" s="1">
        <v>7600000</v>
      </c>
      <c r="E7" s="1">
        <v>3</v>
      </c>
      <c r="F7" s="1">
        <v>10</v>
      </c>
      <c r="G7" s="1">
        <v>20</v>
      </c>
      <c r="H7" s="1"/>
      <c r="I7" s="1">
        <v>14</v>
      </c>
    </row>
    <row r="8" spans="1:9" x14ac:dyDescent="0.3">
      <c r="A8" t="s">
        <v>10</v>
      </c>
      <c r="B8" t="s">
        <v>60</v>
      </c>
      <c r="C8" s="1">
        <v>103</v>
      </c>
      <c r="D8" s="1">
        <v>11000000</v>
      </c>
      <c r="E8" s="1">
        <v>2</v>
      </c>
      <c r="F8" s="1">
        <v>9</v>
      </c>
      <c r="G8" s="1">
        <v>19</v>
      </c>
      <c r="H8" s="1"/>
      <c r="I8" s="1">
        <v>19</v>
      </c>
    </row>
    <row r="9" spans="1:9" x14ac:dyDescent="0.3">
      <c r="A9" t="s">
        <v>10</v>
      </c>
      <c r="B9" t="s">
        <v>64</v>
      </c>
      <c r="C9" s="1">
        <v>16</v>
      </c>
      <c r="D9" s="1">
        <v>2700000</v>
      </c>
      <c r="E9" s="1">
        <v>1</v>
      </c>
      <c r="F9" s="1">
        <v>2</v>
      </c>
      <c r="G9" s="1">
        <v>7</v>
      </c>
      <c r="H9" s="1"/>
      <c r="I9" s="1">
        <v>9</v>
      </c>
    </row>
    <row r="10" spans="1:9" x14ac:dyDescent="0.3">
      <c r="A10" t="s">
        <v>10</v>
      </c>
      <c r="B10" t="s">
        <v>66</v>
      </c>
      <c r="C10" s="1">
        <v>28</v>
      </c>
      <c r="D10" s="1">
        <v>4200000</v>
      </c>
      <c r="E10" s="1"/>
      <c r="F10" s="1">
        <v>7</v>
      </c>
      <c r="G10" s="1">
        <v>14</v>
      </c>
      <c r="H10" s="1"/>
      <c r="I10" s="1"/>
    </row>
    <row r="11" spans="1:9" x14ac:dyDescent="0.3">
      <c r="A11" t="s">
        <v>10</v>
      </c>
      <c r="B11" t="s">
        <v>67</v>
      </c>
      <c r="C11" s="1">
        <v>48</v>
      </c>
      <c r="D11" s="1">
        <v>6400000</v>
      </c>
      <c r="E11" s="1">
        <v>3</v>
      </c>
      <c r="F11" s="1">
        <v>5</v>
      </c>
      <c r="G11" s="1">
        <v>14</v>
      </c>
      <c r="H11" s="1">
        <v>19</v>
      </c>
      <c r="I11" s="1">
        <v>19</v>
      </c>
    </row>
    <row r="12" spans="1:9" x14ac:dyDescent="0.3">
      <c r="A12" t="s">
        <v>10</v>
      </c>
      <c r="B12" t="s">
        <v>68</v>
      </c>
      <c r="C12" s="1">
        <v>84</v>
      </c>
      <c r="D12" s="1">
        <v>3700000</v>
      </c>
      <c r="E12" s="1">
        <v>2</v>
      </c>
      <c r="F12" s="1">
        <v>9</v>
      </c>
      <c r="G12" s="1">
        <v>16</v>
      </c>
      <c r="H12" s="1"/>
      <c r="I12" s="1"/>
    </row>
    <row r="13" spans="1:9" x14ac:dyDescent="0.3">
      <c r="A13" t="s">
        <v>10</v>
      </c>
      <c r="B13" t="s">
        <v>69</v>
      </c>
      <c r="C13" s="1">
        <v>20</v>
      </c>
      <c r="D13" s="1">
        <v>4800000</v>
      </c>
      <c r="E13" s="1">
        <v>1</v>
      </c>
      <c r="F13" s="1">
        <v>4</v>
      </c>
      <c r="G13" s="1">
        <v>9</v>
      </c>
      <c r="H13" s="1"/>
      <c r="I13" s="1"/>
    </row>
    <row r="14" spans="1:9" x14ac:dyDescent="0.3">
      <c r="A14" t="s">
        <v>10</v>
      </c>
      <c r="B14" t="s">
        <v>72</v>
      </c>
      <c r="C14" s="1">
        <v>37</v>
      </c>
      <c r="D14" s="1">
        <v>4200000</v>
      </c>
      <c r="E14" s="1"/>
      <c r="F14" s="1">
        <v>3</v>
      </c>
      <c r="G14" s="1">
        <v>17</v>
      </c>
      <c r="H14" s="1"/>
      <c r="I14" s="1"/>
    </row>
    <row r="15" spans="1:9" x14ac:dyDescent="0.3">
      <c r="A15" t="s">
        <v>10</v>
      </c>
      <c r="B15" t="s">
        <v>73</v>
      </c>
      <c r="C15" s="1">
        <v>25</v>
      </c>
      <c r="D15" s="1">
        <v>4200000</v>
      </c>
      <c r="E15" s="1">
        <v>1</v>
      </c>
      <c r="F15" s="1">
        <v>6</v>
      </c>
      <c r="G15" s="1">
        <v>11</v>
      </c>
      <c r="H15" s="1"/>
      <c r="I15" s="1"/>
    </row>
    <row r="16" spans="1:9" x14ac:dyDescent="0.3">
      <c r="A16" t="s">
        <v>10</v>
      </c>
      <c r="B16" t="s">
        <v>74</v>
      </c>
      <c r="C16" s="1">
        <v>6</v>
      </c>
      <c r="D16" s="1">
        <v>6700000</v>
      </c>
      <c r="E16" s="1">
        <v>2</v>
      </c>
      <c r="F16" s="1">
        <v>5</v>
      </c>
      <c r="G16" s="1">
        <v>9</v>
      </c>
      <c r="H16" s="1"/>
      <c r="I16" s="1">
        <v>12</v>
      </c>
    </row>
    <row r="17" spans="1:9" x14ac:dyDescent="0.3">
      <c r="A17" t="s">
        <v>10</v>
      </c>
      <c r="B17" t="s">
        <v>75</v>
      </c>
      <c r="C17" s="1">
        <v>58</v>
      </c>
      <c r="D17" s="1">
        <v>6400000</v>
      </c>
      <c r="E17" s="1"/>
      <c r="F17" s="1">
        <v>6</v>
      </c>
      <c r="G17" s="1">
        <v>12</v>
      </c>
      <c r="H17" s="1">
        <v>8</v>
      </c>
      <c r="I17" s="1">
        <v>8</v>
      </c>
    </row>
    <row r="18" spans="1:9" x14ac:dyDescent="0.3">
      <c r="A18" t="s">
        <v>10</v>
      </c>
      <c r="B18" t="s">
        <v>76</v>
      </c>
      <c r="C18" s="1">
        <v>35</v>
      </c>
      <c r="D18" s="1">
        <v>20400000</v>
      </c>
      <c r="E18" s="1">
        <v>3</v>
      </c>
      <c r="F18" s="1">
        <v>7</v>
      </c>
      <c r="G18" s="1">
        <v>14</v>
      </c>
      <c r="H18" s="1"/>
      <c r="I18" s="1"/>
    </row>
    <row r="19" spans="1:9" x14ac:dyDescent="0.3">
      <c r="A19" t="s">
        <v>10</v>
      </c>
      <c r="B19" t="s">
        <v>80</v>
      </c>
      <c r="C19" s="1">
        <v>11</v>
      </c>
      <c r="D19" s="1">
        <v>11000000</v>
      </c>
      <c r="E19" s="1">
        <v>-1</v>
      </c>
      <c r="F19" s="1">
        <v>1</v>
      </c>
      <c r="G19" s="1">
        <v>5</v>
      </c>
      <c r="H19" s="1"/>
      <c r="I19" s="1"/>
    </row>
    <row r="20" spans="1:9" x14ac:dyDescent="0.3">
      <c r="A20" t="s">
        <v>10</v>
      </c>
      <c r="B20" t="s">
        <v>81</v>
      </c>
      <c r="C20" s="1">
        <v>22</v>
      </c>
      <c r="D20" s="1">
        <v>11800000</v>
      </c>
      <c r="E20" s="1">
        <v>2</v>
      </c>
      <c r="F20" s="1">
        <v>5</v>
      </c>
      <c r="G20" s="1">
        <v>12</v>
      </c>
      <c r="H20" s="1"/>
      <c r="I20" s="1">
        <v>1</v>
      </c>
    </row>
    <row r="21" spans="1:9" x14ac:dyDescent="0.3">
      <c r="A21" t="s">
        <v>10</v>
      </c>
      <c r="B21" t="s">
        <v>83</v>
      </c>
      <c r="C21" s="1">
        <v>30</v>
      </c>
      <c r="D21" s="1">
        <v>4200000</v>
      </c>
      <c r="E21" s="1">
        <v>2</v>
      </c>
      <c r="F21" s="1">
        <v>4</v>
      </c>
      <c r="G21" s="1">
        <v>14</v>
      </c>
      <c r="H21" s="1"/>
      <c r="I21" s="1"/>
    </row>
    <row r="22" spans="1:9" x14ac:dyDescent="0.3">
      <c r="A22" t="s">
        <v>10</v>
      </c>
      <c r="B22" t="s">
        <v>84</v>
      </c>
      <c r="C22" s="1">
        <v>7</v>
      </c>
      <c r="D22" s="1">
        <v>6700000</v>
      </c>
      <c r="E22" s="1">
        <v>2</v>
      </c>
      <c r="F22" s="1">
        <v>8</v>
      </c>
      <c r="G22" s="1">
        <v>15</v>
      </c>
      <c r="H22" s="1"/>
      <c r="I22" s="1">
        <v>9</v>
      </c>
    </row>
    <row r="23" spans="1:9" x14ac:dyDescent="0.3">
      <c r="A23" t="s">
        <v>10</v>
      </c>
      <c r="B23" t="s">
        <v>85</v>
      </c>
      <c r="C23" s="1">
        <v>19</v>
      </c>
      <c r="D23" s="1">
        <v>16500000</v>
      </c>
      <c r="E23" s="1"/>
      <c r="F23" s="1">
        <v>6</v>
      </c>
      <c r="G23" s="1">
        <v>9</v>
      </c>
      <c r="H23" s="1"/>
      <c r="I23" s="1"/>
    </row>
    <row r="24" spans="1:9" x14ac:dyDescent="0.3">
      <c r="A24" t="s">
        <v>10</v>
      </c>
      <c r="B24" t="s">
        <v>88</v>
      </c>
      <c r="C24" s="1">
        <v>98</v>
      </c>
      <c r="D24" s="1">
        <v>4500000</v>
      </c>
      <c r="E24" s="1">
        <v>5</v>
      </c>
      <c r="F24" s="1">
        <v>8</v>
      </c>
      <c r="G24" s="1">
        <v>12</v>
      </c>
      <c r="H24" s="1"/>
      <c r="I24" s="1"/>
    </row>
    <row r="25" spans="1:9" x14ac:dyDescent="0.3">
      <c r="A25" t="s">
        <v>10</v>
      </c>
      <c r="B25" t="s">
        <v>89</v>
      </c>
      <c r="C25" s="1">
        <v>43</v>
      </c>
      <c r="D25" s="1">
        <v>17000000</v>
      </c>
      <c r="E25" s="1">
        <v>1</v>
      </c>
      <c r="F25" s="1">
        <v>6</v>
      </c>
      <c r="G25" s="1">
        <v>13</v>
      </c>
      <c r="H25" s="1"/>
      <c r="I25" s="1"/>
    </row>
    <row r="26" spans="1:9" x14ac:dyDescent="0.3">
      <c r="A26" t="s">
        <v>93</v>
      </c>
      <c r="B26" t="s">
        <v>3</v>
      </c>
      <c r="C26" s="1">
        <v>9</v>
      </c>
      <c r="D26" s="1">
        <v>7300000</v>
      </c>
      <c r="E26" s="1">
        <v>1</v>
      </c>
      <c r="F26" s="1">
        <v>5</v>
      </c>
      <c r="G26" s="1">
        <v>14</v>
      </c>
      <c r="H26" s="1"/>
      <c r="I26" s="1"/>
    </row>
    <row r="27" spans="1:9" x14ac:dyDescent="0.3">
      <c r="A27" t="s">
        <v>10</v>
      </c>
      <c r="B27" t="s">
        <v>94</v>
      </c>
      <c r="C27" s="1">
        <v>14</v>
      </c>
      <c r="D27" s="1">
        <v>23800000</v>
      </c>
      <c r="E27" s="1">
        <v>1</v>
      </c>
      <c r="F27" s="1">
        <v>6</v>
      </c>
      <c r="G27" s="1">
        <v>12</v>
      </c>
      <c r="H27" s="1"/>
      <c r="I27" s="1">
        <v>16</v>
      </c>
    </row>
    <row r="28" spans="1:9" x14ac:dyDescent="0.3">
      <c r="A28" t="s">
        <v>10</v>
      </c>
      <c r="B28" t="s">
        <v>95</v>
      </c>
      <c r="C28" s="1">
        <v>43</v>
      </c>
      <c r="D28" s="1">
        <v>14000000</v>
      </c>
      <c r="E28" s="1">
        <v>2</v>
      </c>
      <c r="F28" s="1">
        <v>8</v>
      </c>
      <c r="G28" s="1">
        <v>12</v>
      </c>
      <c r="H28" s="1">
        <v>17</v>
      </c>
      <c r="I28" s="1">
        <v>17</v>
      </c>
    </row>
    <row r="29" spans="1:9" x14ac:dyDescent="0.3">
      <c r="A29" t="s">
        <v>96</v>
      </c>
      <c r="B29" t="s">
        <v>0</v>
      </c>
      <c r="C29" s="1">
        <v>4</v>
      </c>
      <c r="D29" s="1">
        <v>8490000</v>
      </c>
      <c r="E29" s="1"/>
      <c r="F29" s="1">
        <v>1</v>
      </c>
      <c r="G29" s="1">
        <v>6</v>
      </c>
      <c r="H29" s="1"/>
      <c r="I29" s="1"/>
    </row>
    <row r="30" spans="1:9" x14ac:dyDescent="0.3">
      <c r="A30" t="s">
        <v>10</v>
      </c>
      <c r="B30" t="s">
        <v>97</v>
      </c>
      <c r="C30" s="1">
        <v>22</v>
      </c>
      <c r="D30" s="1">
        <v>10700000</v>
      </c>
      <c r="E30" s="1">
        <v>1</v>
      </c>
      <c r="F30" s="1">
        <v>6</v>
      </c>
      <c r="G30" s="1">
        <v>6</v>
      </c>
      <c r="H30" s="1">
        <v>12</v>
      </c>
      <c r="I30" s="1">
        <v>12</v>
      </c>
    </row>
    <row r="31" spans="1:9" x14ac:dyDescent="0.3">
      <c r="A31" t="s">
        <v>98</v>
      </c>
      <c r="B31" t="s">
        <v>2</v>
      </c>
      <c r="C31" s="1">
        <v>7</v>
      </c>
      <c r="D31" s="1">
        <v>1790000</v>
      </c>
      <c r="E31" s="1">
        <v>-1</v>
      </c>
      <c r="F31" s="1">
        <v>1</v>
      </c>
      <c r="G31" s="1">
        <v>7</v>
      </c>
      <c r="H31" s="1"/>
      <c r="I31" s="1"/>
    </row>
    <row r="32" spans="1:9" x14ac:dyDescent="0.3">
      <c r="A32" t="s">
        <v>10</v>
      </c>
      <c r="B32" t="s">
        <v>99</v>
      </c>
      <c r="C32" s="1">
        <v>10</v>
      </c>
      <c r="D32" s="1">
        <v>4900000</v>
      </c>
      <c r="E32" s="1"/>
      <c r="F32" s="1">
        <v>4</v>
      </c>
      <c r="G32" s="1">
        <v>7</v>
      </c>
      <c r="H32" s="1"/>
      <c r="I32" s="1"/>
    </row>
    <row r="33" spans="1:9" x14ac:dyDescent="0.3">
      <c r="A33" t="s">
        <v>10</v>
      </c>
      <c r="B33" t="s">
        <v>100</v>
      </c>
      <c r="C33" s="1">
        <v>10</v>
      </c>
      <c r="D33" s="1">
        <v>11600000</v>
      </c>
      <c r="E33" s="1">
        <v>3</v>
      </c>
      <c r="F33" s="1">
        <v>4</v>
      </c>
      <c r="G33" s="1">
        <v>12</v>
      </c>
      <c r="H33" s="1"/>
      <c r="I33" s="1"/>
    </row>
    <row r="34" spans="1:9" x14ac:dyDescent="0.3">
      <c r="A34" t="s">
        <v>10</v>
      </c>
      <c r="B34" t="s">
        <v>101</v>
      </c>
      <c r="C34" s="1">
        <v>3</v>
      </c>
      <c r="D34" s="1">
        <v>15500000</v>
      </c>
      <c r="E34" s="1">
        <v>1</v>
      </c>
      <c r="F34" s="1">
        <v>2</v>
      </c>
      <c r="G34" s="1">
        <v>5</v>
      </c>
      <c r="H34" s="1"/>
      <c r="I34" s="1"/>
    </row>
    <row r="35" spans="1:9" x14ac:dyDescent="0.3">
      <c r="A35" t="s">
        <v>96</v>
      </c>
      <c r="B35" t="s">
        <v>61</v>
      </c>
      <c r="C35" s="1">
        <v>4</v>
      </c>
      <c r="D35" s="1">
        <v>7290000</v>
      </c>
      <c r="E35" s="1"/>
      <c r="F35" s="1">
        <v>4</v>
      </c>
      <c r="G35" s="1">
        <v>11</v>
      </c>
      <c r="H35" s="1"/>
      <c r="I35" s="1"/>
    </row>
    <row r="36" spans="1:9" x14ac:dyDescent="0.3">
      <c r="A36" t="s">
        <v>96</v>
      </c>
      <c r="B36" t="s">
        <v>9</v>
      </c>
      <c r="C36" s="1">
        <v>6</v>
      </c>
      <c r="D36" s="1">
        <v>13190000</v>
      </c>
      <c r="E36" s="1">
        <v>1</v>
      </c>
      <c r="F36" s="1">
        <v>4</v>
      </c>
      <c r="G36" s="1">
        <v>9</v>
      </c>
      <c r="H36" s="1"/>
      <c r="I36" s="1"/>
    </row>
    <row r="37" spans="1:9" x14ac:dyDescent="0.3">
      <c r="A37" t="s">
        <v>10</v>
      </c>
      <c r="B37" t="s">
        <v>105</v>
      </c>
      <c r="C37" s="1">
        <v>21</v>
      </c>
      <c r="D37" s="1">
        <v>9650000</v>
      </c>
      <c r="E37" s="1"/>
      <c r="F37" s="1">
        <v>5</v>
      </c>
      <c r="G37" s="1">
        <v>12</v>
      </c>
      <c r="H37" s="1">
        <v>1</v>
      </c>
      <c r="I37" s="1">
        <v>18</v>
      </c>
    </row>
    <row r="38" spans="1:9" x14ac:dyDescent="0.3">
      <c r="A38" t="s">
        <v>10</v>
      </c>
      <c r="B38" t="s">
        <v>107</v>
      </c>
      <c r="C38" s="1">
        <v>101</v>
      </c>
      <c r="D38" s="1">
        <v>3700000</v>
      </c>
      <c r="E38" s="1">
        <v>4</v>
      </c>
      <c r="F38" s="1">
        <v>5</v>
      </c>
      <c r="G38" s="1">
        <v>8</v>
      </c>
      <c r="H38" s="1"/>
      <c r="I38" s="1"/>
    </row>
    <row r="39" spans="1:9" x14ac:dyDescent="0.3">
      <c r="A39" t="s">
        <v>10</v>
      </c>
      <c r="B39" t="s">
        <v>108</v>
      </c>
      <c r="C39" s="1">
        <v>22</v>
      </c>
      <c r="D39" s="1">
        <v>4900000</v>
      </c>
      <c r="E39" s="1">
        <v>2</v>
      </c>
      <c r="F39" s="1">
        <v>3</v>
      </c>
      <c r="G39" s="1">
        <v>9</v>
      </c>
      <c r="H39" s="1"/>
      <c r="I39" s="1"/>
    </row>
    <row r="40" spans="1:9" x14ac:dyDescent="0.3">
      <c r="A40" t="s">
        <v>10</v>
      </c>
      <c r="B40" t="s">
        <v>109</v>
      </c>
      <c r="C40" s="1">
        <v>34</v>
      </c>
      <c r="D40" s="1">
        <v>9450000</v>
      </c>
      <c r="E40" s="1">
        <v>0</v>
      </c>
      <c r="F40" s="1">
        <v>4</v>
      </c>
      <c r="G40" s="1">
        <v>8</v>
      </c>
      <c r="H40" s="1">
        <v>5</v>
      </c>
      <c r="I40" s="1">
        <v>29</v>
      </c>
    </row>
    <row r="41" spans="1:9" x14ac:dyDescent="0.3">
      <c r="A41" t="s">
        <v>10</v>
      </c>
      <c r="B41" t="s">
        <v>85</v>
      </c>
      <c r="C41" s="1">
        <v>7</v>
      </c>
      <c r="D41" s="1">
        <v>17500000</v>
      </c>
      <c r="E41" s="1">
        <v>0</v>
      </c>
      <c r="F41" s="1">
        <v>2</v>
      </c>
      <c r="G41" s="1">
        <v>6</v>
      </c>
      <c r="H41" s="1"/>
      <c r="I41" s="1"/>
    </row>
    <row r="42" spans="1:9" x14ac:dyDescent="0.3">
      <c r="A42" t="s">
        <v>10</v>
      </c>
      <c r="B42" t="s">
        <v>111</v>
      </c>
      <c r="C42" s="1">
        <v>5</v>
      </c>
      <c r="D42" s="1">
        <v>4900000</v>
      </c>
      <c r="E42" s="1">
        <v>1</v>
      </c>
      <c r="F42" s="1">
        <v>4</v>
      </c>
      <c r="G42" s="1">
        <v>6</v>
      </c>
      <c r="H42" s="1"/>
      <c r="I42" s="1"/>
    </row>
    <row r="43" spans="1:9" x14ac:dyDescent="0.3">
      <c r="A43" t="s">
        <v>10</v>
      </c>
      <c r="B43" t="s">
        <v>112</v>
      </c>
      <c r="C43" s="1">
        <v>69</v>
      </c>
      <c r="D43" s="1">
        <v>7500000</v>
      </c>
      <c r="E43" s="1"/>
      <c r="F43" s="1">
        <v>3</v>
      </c>
      <c r="G43" s="1">
        <v>8</v>
      </c>
      <c r="H43" s="1"/>
      <c r="I43" s="1"/>
    </row>
    <row r="44" spans="1:9" x14ac:dyDescent="0.3">
      <c r="A44" t="s">
        <v>10</v>
      </c>
      <c r="B44" t="s">
        <v>113</v>
      </c>
      <c r="C44" s="1">
        <v>1</v>
      </c>
      <c r="D44" s="1">
        <v>2700000</v>
      </c>
      <c r="E44" s="1">
        <v>1</v>
      </c>
      <c r="F44" s="1">
        <v>3</v>
      </c>
      <c r="G44" s="1">
        <v>8</v>
      </c>
      <c r="H44" s="1"/>
      <c r="I44" s="1"/>
    </row>
    <row r="45" spans="1:9" x14ac:dyDescent="0.3">
      <c r="A45" t="s">
        <v>10</v>
      </c>
      <c r="B45" t="s">
        <v>114</v>
      </c>
      <c r="C45" s="1">
        <v>31</v>
      </c>
      <c r="D45" s="1">
        <v>12500000</v>
      </c>
      <c r="E45" s="1">
        <v>0</v>
      </c>
      <c r="F45" s="1">
        <v>3</v>
      </c>
      <c r="G45" s="1">
        <v>6</v>
      </c>
      <c r="H45" s="1"/>
      <c r="I45" s="1">
        <v>2</v>
      </c>
    </row>
    <row r="46" spans="1:9" x14ac:dyDescent="0.3">
      <c r="A46" t="s">
        <v>10</v>
      </c>
      <c r="B46" t="s">
        <v>115</v>
      </c>
      <c r="C46" s="1">
        <v>19</v>
      </c>
      <c r="D46" s="1">
        <v>22000000</v>
      </c>
      <c r="E46" s="1">
        <v>1</v>
      </c>
      <c r="F46" s="1">
        <v>2</v>
      </c>
      <c r="G46" s="1">
        <v>4</v>
      </c>
      <c r="H46" s="1"/>
      <c r="I46" s="1"/>
    </row>
    <row r="47" spans="1:9" x14ac:dyDescent="0.3">
      <c r="A47" t="s">
        <v>10</v>
      </c>
      <c r="B47" t="s">
        <v>116</v>
      </c>
      <c r="C47" s="1">
        <v>40</v>
      </c>
      <c r="D47" s="1">
        <v>16900000</v>
      </c>
      <c r="E47" s="1">
        <v>1</v>
      </c>
      <c r="F47" s="1">
        <v>3</v>
      </c>
      <c r="G47" s="1">
        <v>9</v>
      </c>
      <c r="H47" s="1">
        <v>10</v>
      </c>
      <c r="I47" s="1">
        <v>10</v>
      </c>
    </row>
    <row r="48" spans="1:9" x14ac:dyDescent="0.3">
      <c r="A48" t="s">
        <v>10</v>
      </c>
      <c r="B48" t="s">
        <v>117</v>
      </c>
      <c r="C48" s="1">
        <v>39</v>
      </c>
      <c r="D48" s="1">
        <v>19000000</v>
      </c>
      <c r="E48" s="1">
        <v>2</v>
      </c>
      <c r="F48" s="1">
        <v>9</v>
      </c>
      <c r="G48" s="1">
        <v>10</v>
      </c>
      <c r="H48" s="1"/>
      <c r="I48" s="1"/>
    </row>
    <row r="49" spans="1:9" x14ac:dyDescent="0.3">
      <c r="A49" t="s">
        <v>10</v>
      </c>
      <c r="B49" t="s">
        <v>120</v>
      </c>
      <c r="C49" s="1">
        <v>4</v>
      </c>
      <c r="D49" s="1">
        <v>4200000</v>
      </c>
      <c r="E49" s="1">
        <v>2</v>
      </c>
      <c r="F49" s="1">
        <v>3</v>
      </c>
      <c r="G49" s="1">
        <v>6</v>
      </c>
      <c r="H49" s="1"/>
      <c r="I49" s="1"/>
    </row>
    <row r="50" spans="1:9" x14ac:dyDescent="0.3">
      <c r="A50" t="s">
        <v>121</v>
      </c>
      <c r="B50" t="s">
        <v>122</v>
      </c>
      <c r="C50" s="1">
        <v>14</v>
      </c>
      <c r="D50" s="1">
        <v>4600000</v>
      </c>
      <c r="E50" s="1">
        <v>3</v>
      </c>
      <c r="F50" s="1">
        <v>3</v>
      </c>
      <c r="G50" s="1">
        <v>3</v>
      </c>
      <c r="H50" s="1"/>
      <c r="I50" s="1"/>
    </row>
    <row r="51" spans="1:9" x14ac:dyDescent="0.3">
      <c r="A51" t="s">
        <v>98</v>
      </c>
      <c r="B51" t="s">
        <v>13</v>
      </c>
      <c r="C51" s="1"/>
      <c r="D51" s="1">
        <v>2790000</v>
      </c>
      <c r="E51" s="1">
        <v>2</v>
      </c>
      <c r="F51" s="1">
        <v>6</v>
      </c>
      <c r="G51" s="1">
        <v>10</v>
      </c>
      <c r="H51" s="1"/>
      <c r="I51" s="1">
        <v>1</v>
      </c>
    </row>
    <row r="52" spans="1:9" x14ac:dyDescent="0.3">
      <c r="A52" t="s">
        <v>93</v>
      </c>
      <c r="B52" t="s">
        <v>124</v>
      </c>
      <c r="C52" s="1">
        <v>7</v>
      </c>
      <c r="D52" s="1">
        <v>10900000</v>
      </c>
      <c r="E52" s="1">
        <v>5</v>
      </c>
      <c r="F52" s="1">
        <v>6</v>
      </c>
      <c r="G52" s="1">
        <v>7</v>
      </c>
      <c r="H52" s="1"/>
      <c r="I52" s="1"/>
    </row>
    <row r="53" spans="1:9" x14ac:dyDescent="0.3">
      <c r="A53" t="s">
        <v>125</v>
      </c>
      <c r="B53" t="s">
        <v>126</v>
      </c>
      <c r="C53" s="1">
        <v>2</v>
      </c>
      <c r="D53" s="1">
        <v>2800000</v>
      </c>
      <c r="E53" s="1">
        <v>1</v>
      </c>
      <c r="F53" s="1">
        <v>1</v>
      </c>
      <c r="G53" s="1">
        <v>3</v>
      </c>
      <c r="H53" s="1"/>
      <c r="I53" s="1"/>
    </row>
    <row r="54" spans="1:9" x14ac:dyDescent="0.3">
      <c r="A54" t="s">
        <v>93</v>
      </c>
      <c r="B54" t="s">
        <v>129</v>
      </c>
      <c r="C54" s="1"/>
      <c r="D54" s="1">
        <v>6600000</v>
      </c>
      <c r="E54" s="1"/>
      <c r="F54" s="1">
        <v>2</v>
      </c>
      <c r="G54" s="1">
        <v>4</v>
      </c>
      <c r="H54" s="1"/>
      <c r="I54" s="1"/>
    </row>
    <row r="55" spans="1:9" x14ac:dyDescent="0.3">
      <c r="A55" t="s">
        <v>93</v>
      </c>
      <c r="B55" t="s">
        <v>26</v>
      </c>
      <c r="C55" s="1">
        <v>2</v>
      </c>
      <c r="D55" s="1">
        <v>8600000</v>
      </c>
      <c r="E55" s="1"/>
      <c r="F55" s="1">
        <v>2</v>
      </c>
      <c r="G55" s="1">
        <v>4</v>
      </c>
      <c r="H55" s="1"/>
      <c r="I55" s="1"/>
    </row>
    <row r="56" spans="1:9" x14ac:dyDescent="0.3">
      <c r="A56" t="s">
        <v>10</v>
      </c>
      <c r="B56" t="s">
        <v>130</v>
      </c>
      <c r="C56" s="1">
        <v>60</v>
      </c>
      <c r="D56" s="1">
        <v>3700000</v>
      </c>
      <c r="E56" s="1">
        <v>1</v>
      </c>
      <c r="F56" s="1">
        <v>1</v>
      </c>
      <c r="G56" s="1">
        <v>6</v>
      </c>
      <c r="H56" s="1"/>
      <c r="I56" s="1"/>
    </row>
    <row r="57" spans="1:9" x14ac:dyDescent="0.3">
      <c r="A57" t="s">
        <v>10</v>
      </c>
      <c r="B57" t="s">
        <v>131</v>
      </c>
      <c r="C57" s="1">
        <v>21</v>
      </c>
      <c r="D57" s="1">
        <v>9450000</v>
      </c>
      <c r="E57" s="1"/>
      <c r="F57" s="1">
        <v>2</v>
      </c>
      <c r="G57" s="1">
        <v>6</v>
      </c>
      <c r="H57" s="1"/>
      <c r="I57" s="1">
        <v>13</v>
      </c>
    </row>
    <row r="58" spans="1:9" x14ac:dyDescent="0.3">
      <c r="A58" t="s">
        <v>10</v>
      </c>
      <c r="B58" t="s">
        <v>132</v>
      </c>
      <c r="C58" s="1">
        <v>2</v>
      </c>
      <c r="D58" s="1">
        <v>2700000</v>
      </c>
      <c r="E58" s="1"/>
      <c r="F58" s="1">
        <v>2</v>
      </c>
      <c r="G58" s="1">
        <v>4</v>
      </c>
      <c r="H58" s="1"/>
      <c r="I58" s="1">
        <v>1</v>
      </c>
    </row>
    <row r="59" spans="1:9" x14ac:dyDescent="0.3">
      <c r="A59" t="s">
        <v>10</v>
      </c>
      <c r="B59" t="s">
        <v>133</v>
      </c>
      <c r="C59" s="1">
        <v>12</v>
      </c>
      <c r="D59" s="1">
        <v>16500000</v>
      </c>
      <c r="E59" s="1"/>
      <c r="F59" s="1">
        <v>3</v>
      </c>
      <c r="G59" s="1">
        <v>5</v>
      </c>
      <c r="H59" s="1"/>
      <c r="I59" s="1"/>
    </row>
    <row r="60" spans="1:9" x14ac:dyDescent="0.3">
      <c r="A60" t="s">
        <v>96</v>
      </c>
      <c r="B60" t="s">
        <v>134</v>
      </c>
      <c r="C60" s="1">
        <v>2</v>
      </c>
      <c r="D60" s="1">
        <v>7000000</v>
      </c>
      <c r="E60" s="1"/>
      <c r="F60" s="1">
        <v>1</v>
      </c>
      <c r="G60" s="1">
        <v>5</v>
      </c>
      <c r="H60" s="1"/>
      <c r="I60" s="1"/>
    </row>
    <row r="61" spans="1:9" x14ac:dyDescent="0.3">
      <c r="A61" t="s">
        <v>10</v>
      </c>
      <c r="B61" t="s">
        <v>138</v>
      </c>
      <c r="C61" s="1">
        <v>1</v>
      </c>
      <c r="D61" s="1">
        <v>11300000</v>
      </c>
      <c r="E61" s="1">
        <v>2</v>
      </c>
      <c r="F61" s="1">
        <v>3</v>
      </c>
      <c r="G61" s="1">
        <v>6</v>
      </c>
      <c r="H61" s="1"/>
      <c r="I61" s="1"/>
    </row>
    <row r="62" spans="1:9" x14ac:dyDescent="0.3">
      <c r="A62" t="s">
        <v>10</v>
      </c>
      <c r="B62" t="s">
        <v>139</v>
      </c>
      <c r="C62" s="1">
        <v>12</v>
      </c>
      <c r="D62" s="1">
        <v>2700000</v>
      </c>
      <c r="E62" s="1">
        <v>2</v>
      </c>
      <c r="F62" s="1">
        <v>2</v>
      </c>
      <c r="G62" s="1">
        <v>5</v>
      </c>
      <c r="H62" s="1"/>
      <c r="I62" s="1">
        <v>2</v>
      </c>
    </row>
    <row r="63" spans="1:9" x14ac:dyDescent="0.3">
      <c r="A63" t="s">
        <v>10</v>
      </c>
      <c r="B63" t="s">
        <v>140</v>
      </c>
      <c r="C63" s="1">
        <v>8</v>
      </c>
      <c r="D63" s="1">
        <v>20000000</v>
      </c>
      <c r="E63" s="1"/>
      <c r="F63" s="1">
        <v>1</v>
      </c>
      <c r="G63" s="1">
        <v>3</v>
      </c>
      <c r="H63" s="1"/>
      <c r="I63" s="1"/>
    </row>
    <row r="64" spans="1:9" x14ac:dyDescent="0.3">
      <c r="A64" t="s">
        <v>96</v>
      </c>
      <c r="B64" t="s">
        <v>141</v>
      </c>
      <c r="C64" s="1">
        <v>3</v>
      </c>
      <c r="D64" s="1">
        <v>1800000</v>
      </c>
      <c r="E64" s="1"/>
      <c r="F64" s="1"/>
      <c r="G64" s="1">
        <v>2</v>
      </c>
      <c r="H64" s="1"/>
      <c r="I64" s="1"/>
    </row>
    <row r="65" spans="1:9" x14ac:dyDescent="0.3">
      <c r="A65" t="s">
        <v>96</v>
      </c>
      <c r="B65" t="s">
        <v>25</v>
      </c>
      <c r="C65" s="1">
        <v>3</v>
      </c>
      <c r="D65" s="1">
        <v>14290000</v>
      </c>
      <c r="E65" s="1">
        <v>2</v>
      </c>
      <c r="F65" s="1">
        <v>2</v>
      </c>
      <c r="G65" s="1">
        <v>6</v>
      </c>
      <c r="H65" s="1"/>
      <c r="I65" s="1"/>
    </row>
    <row r="66" spans="1:9" x14ac:dyDescent="0.3">
      <c r="A66" t="s">
        <v>142</v>
      </c>
      <c r="B66" t="s">
        <v>38</v>
      </c>
      <c r="C66" s="1">
        <v>3</v>
      </c>
      <c r="D66" s="1">
        <v>5590000</v>
      </c>
      <c r="E66" s="1"/>
      <c r="F66" s="1">
        <v>1</v>
      </c>
      <c r="G66" s="1">
        <v>5</v>
      </c>
      <c r="H66" s="1"/>
      <c r="I66" s="1"/>
    </row>
    <row r="67" spans="1:9" x14ac:dyDescent="0.3">
      <c r="A67" t="s">
        <v>142</v>
      </c>
      <c r="B67" t="s">
        <v>12</v>
      </c>
      <c r="C67" s="1">
        <v>4</v>
      </c>
      <c r="D67" s="1">
        <v>4290000</v>
      </c>
      <c r="E67" s="1"/>
      <c r="F67" s="1">
        <v>1</v>
      </c>
      <c r="G67" s="1">
        <v>5</v>
      </c>
      <c r="H67" s="1"/>
      <c r="I67" s="1"/>
    </row>
    <row r="68" spans="1:9" x14ac:dyDescent="0.3">
      <c r="A68" t="s">
        <v>143</v>
      </c>
      <c r="B68" t="s">
        <v>135</v>
      </c>
      <c r="C68" s="1">
        <v>2</v>
      </c>
      <c r="D68" s="1">
        <v>5190000</v>
      </c>
      <c r="E68" s="1"/>
      <c r="F68" s="1">
        <v>2</v>
      </c>
      <c r="G68" s="1">
        <v>5</v>
      </c>
      <c r="H68" s="1"/>
      <c r="I68" s="1"/>
    </row>
    <row r="69" spans="1:9" x14ac:dyDescent="0.3">
      <c r="A69" t="s">
        <v>93</v>
      </c>
      <c r="B69" t="s">
        <v>144</v>
      </c>
      <c r="C69" s="1">
        <v>5</v>
      </c>
      <c r="D69" s="1">
        <v>11200000</v>
      </c>
      <c r="E69" s="1"/>
      <c r="F69" s="1"/>
      <c r="G69" s="1">
        <v>2</v>
      </c>
      <c r="H69" s="1"/>
      <c r="I69" s="1"/>
    </row>
    <row r="70" spans="1:9" x14ac:dyDescent="0.3">
      <c r="A70" t="s">
        <v>10</v>
      </c>
      <c r="B70" t="s">
        <v>145</v>
      </c>
      <c r="C70" s="1">
        <v>22</v>
      </c>
      <c r="D70" s="1">
        <v>3100000</v>
      </c>
      <c r="E70" s="1"/>
      <c r="F70" s="1"/>
      <c r="G70" s="1">
        <v>2</v>
      </c>
      <c r="H70" s="1"/>
      <c r="I70" s="1"/>
    </row>
    <row r="71" spans="1:9" x14ac:dyDescent="0.3">
      <c r="A71" t="s">
        <v>10</v>
      </c>
      <c r="B71" t="s">
        <v>146</v>
      </c>
      <c r="C71" s="1">
        <v>5</v>
      </c>
      <c r="D71" s="1">
        <v>7600000</v>
      </c>
      <c r="E71" s="1">
        <v>1</v>
      </c>
      <c r="F71" s="1">
        <v>3</v>
      </c>
      <c r="G71" s="1">
        <v>1</v>
      </c>
      <c r="H71" s="1"/>
      <c r="I71" s="1">
        <v>3</v>
      </c>
    </row>
    <row r="72" spans="1:9" x14ac:dyDescent="0.3">
      <c r="A72" t="s">
        <v>10</v>
      </c>
      <c r="B72" t="s">
        <v>147</v>
      </c>
      <c r="C72" s="1">
        <v>13</v>
      </c>
      <c r="D72" s="1">
        <v>14000000</v>
      </c>
      <c r="E72" s="1"/>
      <c r="F72" s="1"/>
      <c r="G72" s="1">
        <v>3</v>
      </c>
      <c r="H72" s="1"/>
      <c r="I72" s="1"/>
    </row>
    <row r="73" spans="1:9" x14ac:dyDescent="0.3">
      <c r="A73" t="s">
        <v>10</v>
      </c>
      <c r="B73" t="s">
        <v>148</v>
      </c>
      <c r="C73" s="1">
        <v>30</v>
      </c>
      <c r="D73" s="1">
        <v>17100000</v>
      </c>
      <c r="E73" s="1"/>
      <c r="F73" s="1">
        <v>1</v>
      </c>
      <c r="G73" s="1">
        <v>3</v>
      </c>
      <c r="H73" s="1"/>
      <c r="I73" s="1">
        <v>1</v>
      </c>
    </row>
    <row r="74" spans="1:9" x14ac:dyDescent="0.3">
      <c r="A74" t="s">
        <v>10</v>
      </c>
      <c r="B74" t="s">
        <v>149</v>
      </c>
      <c r="C74" s="1">
        <v>2</v>
      </c>
      <c r="D74" s="1">
        <v>26300000</v>
      </c>
      <c r="E74" s="1"/>
      <c r="F74" s="1"/>
      <c r="G74" s="1">
        <v>5</v>
      </c>
      <c r="H74" s="1"/>
      <c r="I74" s="1"/>
    </row>
    <row r="75" spans="1:9" x14ac:dyDescent="0.3">
      <c r="A75" t="s">
        <v>10</v>
      </c>
      <c r="B75" t="s">
        <v>150</v>
      </c>
      <c r="C75" s="1">
        <v>21</v>
      </c>
      <c r="D75" s="1">
        <v>24200000</v>
      </c>
      <c r="E75" s="1"/>
      <c r="F75" s="1">
        <v>1</v>
      </c>
      <c r="G75" s="1">
        <v>2</v>
      </c>
      <c r="H75" s="1"/>
      <c r="I75" s="1">
        <v>2</v>
      </c>
    </row>
    <row r="76" spans="1:9" x14ac:dyDescent="0.3">
      <c r="A76" t="s">
        <v>125</v>
      </c>
      <c r="B76" t="s">
        <v>21</v>
      </c>
      <c r="C76" s="1">
        <v>6</v>
      </c>
      <c r="D76" s="1">
        <v>2790000</v>
      </c>
      <c r="E76" s="1"/>
      <c r="F76" s="1">
        <v>1</v>
      </c>
      <c r="G76" s="1">
        <v>5</v>
      </c>
      <c r="H76" s="1"/>
      <c r="I76" s="1"/>
    </row>
    <row r="77" spans="1:9" x14ac:dyDescent="0.3">
      <c r="A77" t="s">
        <v>121</v>
      </c>
      <c r="B77" t="s">
        <v>17</v>
      </c>
      <c r="C77" s="1"/>
      <c r="D77" s="1">
        <v>5090000</v>
      </c>
      <c r="E77" s="1">
        <v>1</v>
      </c>
      <c r="F77" s="1">
        <v>1</v>
      </c>
      <c r="G77" s="1">
        <v>3</v>
      </c>
      <c r="H77" s="1"/>
      <c r="I77" s="1"/>
    </row>
    <row r="78" spans="1:9" x14ac:dyDescent="0.3">
      <c r="A78" t="s">
        <v>121</v>
      </c>
      <c r="B78" t="s">
        <v>30</v>
      </c>
      <c r="C78" s="1">
        <v>10</v>
      </c>
      <c r="D78" s="1">
        <v>6590000</v>
      </c>
      <c r="E78" s="1"/>
      <c r="F78" s="1">
        <v>2</v>
      </c>
      <c r="G78" s="1">
        <v>4</v>
      </c>
      <c r="H78" s="1"/>
      <c r="I78" s="1"/>
    </row>
    <row r="79" spans="1:9" x14ac:dyDescent="0.3">
      <c r="A79" t="s">
        <v>96</v>
      </c>
      <c r="B79" t="s">
        <v>1</v>
      </c>
      <c r="C79" s="1">
        <v>1</v>
      </c>
      <c r="D79" s="1">
        <v>16490000</v>
      </c>
      <c r="E79" s="1"/>
      <c r="F79" s="1">
        <v>1</v>
      </c>
      <c r="G79" s="1">
        <v>1</v>
      </c>
      <c r="H79" s="1"/>
      <c r="I79" s="1"/>
    </row>
    <row r="80" spans="1:9" x14ac:dyDescent="0.3">
      <c r="A80" t="s">
        <v>98</v>
      </c>
      <c r="B80" t="s">
        <v>151</v>
      </c>
      <c r="C80" s="1">
        <v>6</v>
      </c>
      <c r="D80" s="1">
        <v>3090000</v>
      </c>
      <c r="E80" s="1">
        <v>1</v>
      </c>
      <c r="F80" s="1">
        <v>2</v>
      </c>
      <c r="G80" s="1">
        <v>5</v>
      </c>
      <c r="H80" s="1"/>
      <c r="I80" s="1"/>
    </row>
    <row r="81" spans="1:9" x14ac:dyDescent="0.3">
      <c r="A81" t="s">
        <v>156</v>
      </c>
      <c r="B81" t="s">
        <v>157</v>
      </c>
      <c r="C81" s="1">
        <v>13</v>
      </c>
      <c r="D81" s="1">
        <v>4800000</v>
      </c>
      <c r="E81" s="1">
        <v>1</v>
      </c>
      <c r="F81" s="1">
        <v>2</v>
      </c>
      <c r="G81" s="1">
        <v>2</v>
      </c>
      <c r="H81" s="1"/>
      <c r="I81" s="1"/>
    </row>
    <row r="82" spans="1:9" x14ac:dyDescent="0.3">
      <c r="A82" t="s">
        <v>10</v>
      </c>
      <c r="B82" t="s">
        <v>158</v>
      </c>
      <c r="C82" s="1">
        <v>8</v>
      </c>
      <c r="D82" s="1">
        <v>3400000</v>
      </c>
      <c r="E82" s="1">
        <v>1</v>
      </c>
      <c r="F82" s="1">
        <v>3</v>
      </c>
      <c r="G82" s="1">
        <v>4</v>
      </c>
      <c r="H82" s="1"/>
      <c r="I82" s="1"/>
    </row>
    <row r="83" spans="1:9" x14ac:dyDescent="0.3">
      <c r="A83" t="s">
        <v>10</v>
      </c>
      <c r="B83" t="s">
        <v>159</v>
      </c>
      <c r="C83" s="1">
        <v>4</v>
      </c>
      <c r="D83" s="1">
        <v>4800000</v>
      </c>
      <c r="E83" s="1"/>
      <c r="F83" s="1">
        <v>1</v>
      </c>
      <c r="G83" s="1">
        <v>2</v>
      </c>
      <c r="H83" s="1"/>
      <c r="I83" s="1"/>
    </row>
    <row r="84" spans="1:9" x14ac:dyDescent="0.3">
      <c r="A84" t="s">
        <v>10</v>
      </c>
      <c r="B84" t="s">
        <v>160</v>
      </c>
      <c r="C84" s="1">
        <v>6</v>
      </c>
      <c r="D84" s="1">
        <v>4900000</v>
      </c>
      <c r="E84" s="1">
        <v>1</v>
      </c>
      <c r="F84" s="1">
        <v>3</v>
      </c>
      <c r="G84" s="1">
        <v>5</v>
      </c>
      <c r="H84" s="1"/>
      <c r="I84" s="1"/>
    </row>
    <row r="85" spans="1:9" x14ac:dyDescent="0.3">
      <c r="A85" t="s">
        <v>10</v>
      </c>
      <c r="B85" t="s">
        <v>161</v>
      </c>
      <c r="C85" s="1">
        <v>1</v>
      </c>
      <c r="D85" s="1">
        <v>6700000</v>
      </c>
      <c r="E85" s="1"/>
      <c r="F85" s="1">
        <v>3</v>
      </c>
      <c r="G85" s="1">
        <v>5</v>
      </c>
      <c r="H85" s="1"/>
      <c r="I85" s="1">
        <v>2</v>
      </c>
    </row>
    <row r="86" spans="1:9" x14ac:dyDescent="0.3">
      <c r="A86" t="s">
        <v>10</v>
      </c>
      <c r="B86" t="s">
        <v>162</v>
      </c>
      <c r="C86" s="1">
        <v>2</v>
      </c>
      <c r="D86" s="1">
        <v>6400000</v>
      </c>
      <c r="E86" s="1"/>
      <c r="F86" s="1">
        <v>1</v>
      </c>
      <c r="G86" s="1">
        <v>2</v>
      </c>
      <c r="H86" s="1">
        <v>3</v>
      </c>
      <c r="I86" s="1">
        <v>3</v>
      </c>
    </row>
    <row r="87" spans="1:9" x14ac:dyDescent="0.3">
      <c r="A87" t="s">
        <v>10</v>
      </c>
      <c r="B87" t="s">
        <v>163</v>
      </c>
      <c r="C87" s="1">
        <v>12</v>
      </c>
      <c r="D87" s="1">
        <v>12500000</v>
      </c>
      <c r="E87" s="1">
        <v>-1</v>
      </c>
      <c r="F87" s="1">
        <v>0</v>
      </c>
      <c r="G87" s="1">
        <v>4</v>
      </c>
      <c r="H87" s="1"/>
      <c r="I87" s="1"/>
    </row>
    <row r="88" spans="1:9" x14ac:dyDescent="0.3">
      <c r="A88" t="s">
        <v>10</v>
      </c>
      <c r="B88" t="s">
        <v>164</v>
      </c>
      <c r="C88" s="1"/>
      <c r="D88" s="1">
        <v>10100000</v>
      </c>
      <c r="E88" s="1"/>
      <c r="F88" s="1">
        <v>1</v>
      </c>
      <c r="G88" s="1">
        <v>5</v>
      </c>
      <c r="H88" s="1"/>
      <c r="I88" s="1">
        <v>1</v>
      </c>
    </row>
    <row r="89" spans="1:9" x14ac:dyDescent="0.3">
      <c r="A89" t="s">
        <v>10</v>
      </c>
      <c r="B89" t="s">
        <v>4</v>
      </c>
      <c r="C89" s="1">
        <v>13</v>
      </c>
      <c r="D89" s="1">
        <v>26000000</v>
      </c>
      <c r="E89" s="1"/>
      <c r="F89" s="1"/>
      <c r="G89" s="1">
        <v>1</v>
      </c>
      <c r="H89" s="1"/>
      <c r="I89" s="1"/>
    </row>
    <row r="90" spans="1:9" x14ac:dyDescent="0.3">
      <c r="A90" t="s">
        <v>125</v>
      </c>
      <c r="B90" t="s">
        <v>165</v>
      </c>
      <c r="C90" s="1">
        <v>1</v>
      </c>
      <c r="D90" s="1">
        <v>750000</v>
      </c>
      <c r="E90" s="1"/>
      <c r="F90" s="1">
        <v>-1</v>
      </c>
      <c r="G90" s="1">
        <v>0</v>
      </c>
      <c r="H90" s="1"/>
      <c r="I90" s="1"/>
    </row>
    <row r="91" spans="1:9" x14ac:dyDescent="0.3">
      <c r="A91" t="s">
        <v>125</v>
      </c>
      <c r="B91" t="s">
        <v>24</v>
      </c>
      <c r="C91" s="1">
        <v>8</v>
      </c>
      <c r="D91" s="1">
        <v>1890000</v>
      </c>
      <c r="E91" s="1">
        <v>1</v>
      </c>
      <c r="F91" s="1">
        <v>2</v>
      </c>
      <c r="G91" s="1">
        <v>6</v>
      </c>
      <c r="H91" s="1"/>
      <c r="I91" s="1"/>
    </row>
    <row r="92" spans="1:9" x14ac:dyDescent="0.3">
      <c r="A92" t="s">
        <v>96</v>
      </c>
      <c r="B92" t="s">
        <v>35</v>
      </c>
      <c r="C92" s="1">
        <v>1</v>
      </c>
      <c r="D92" s="1">
        <v>3490000</v>
      </c>
      <c r="E92" s="1"/>
      <c r="F92" s="1">
        <v>1</v>
      </c>
      <c r="G92" s="1">
        <v>4</v>
      </c>
      <c r="H92" s="1"/>
      <c r="I92" s="1"/>
    </row>
    <row r="93" spans="1:9" x14ac:dyDescent="0.3">
      <c r="A93" t="s">
        <v>96</v>
      </c>
      <c r="B93" t="s">
        <v>5</v>
      </c>
      <c r="C93" s="1">
        <v>5</v>
      </c>
      <c r="D93" s="1">
        <v>5590000</v>
      </c>
      <c r="E93" s="1">
        <v>2</v>
      </c>
      <c r="F93" s="1">
        <v>3</v>
      </c>
      <c r="G93" s="1">
        <v>5</v>
      </c>
      <c r="H93" s="1"/>
      <c r="I93" s="1"/>
    </row>
    <row r="94" spans="1:9" x14ac:dyDescent="0.3">
      <c r="A94" t="s">
        <v>96</v>
      </c>
      <c r="B94" t="s">
        <v>7</v>
      </c>
      <c r="C94" s="1">
        <v>7</v>
      </c>
      <c r="D94" s="1">
        <v>7090000</v>
      </c>
      <c r="E94" s="1">
        <v>1</v>
      </c>
      <c r="F94" s="1">
        <v>2</v>
      </c>
      <c r="G94" s="1">
        <v>3</v>
      </c>
      <c r="H94" s="1"/>
      <c r="I94" s="1"/>
    </row>
    <row r="95" spans="1:9" x14ac:dyDescent="0.3">
      <c r="A95" t="s">
        <v>96</v>
      </c>
      <c r="B95" t="s">
        <v>166</v>
      </c>
      <c r="C95" s="1">
        <v>3</v>
      </c>
      <c r="D95" s="1">
        <v>6000000</v>
      </c>
      <c r="E95" s="1"/>
      <c r="F95" s="1">
        <v>1</v>
      </c>
      <c r="G95" s="1">
        <v>3</v>
      </c>
      <c r="H95" s="1"/>
      <c r="I95" s="1"/>
    </row>
    <row r="96" spans="1:9" x14ac:dyDescent="0.3">
      <c r="A96" t="s">
        <v>98</v>
      </c>
      <c r="B96" t="s">
        <v>36</v>
      </c>
      <c r="C96" s="1">
        <v>3</v>
      </c>
      <c r="D96" s="1">
        <v>1450000</v>
      </c>
      <c r="E96" s="1"/>
      <c r="F96" s="1">
        <v>1</v>
      </c>
      <c r="G96" s="1">
        <v>4</v>
      </c>
      <c r="H96" s="1"/>
      <c r="I96" s="1"/>
    </row>
    <row r="97" spans="1:9" x14ac:dyDescent="0.3">
      <c r="A97" t="s">
        <v>93</v>
      </c>
      <c r="B97" t="s">
        <v>170</v>
      </c>
      <c r="C97" s="1">
        <v>11</v>
      </c>
      <c r="D97" s="1">
        <v>6600000</v>
      </c>
      <c r="E97" s="1"/>
      <c r="F97" s="1">
        <v>1</v>
      </c>
      <c r="G97" s="1">
        <v>3</v>
      </c>
      <c r="H97" s="1"/>
      <c r="I97" s="1"/>
    </row>
    <row r="98" spans="1:9" x14ac:dyDescent="0.3">
      <c r="A98" t="s">
        <v>93</v>
      </c>
      <c r="B98" t="s">
        <v>171</v>
      </c>
      <c r="C98" s="1">
        <v>3</v>
      </c>
      <c r="D98" s="1">
        <v>15900000</v>
      </c>
      <c r="E98" s="1"/>
      <c r="F98" s="1"/>
      <c r="G98" s="1">
        <v>3</v>
      </c>
      <c r="H98" s="1"/>
      <c r="I98" s="1"/>
    </row>
    <row r="99" spans="1:9" x14ac:dyDescent="0.3">
      <c r="A99" t="s">
        <v>10</v>
      </c>
      <c r="B99" t="s">
        <v>172</v>
      </c>
      <c r="C99" s="1">
        <v>3</v>
      </c>
      <c r="D99" s="1">
        <v>3000000</v>
      </c>
      <c r="E99" s="1"/>
      <c r="F99" s="1">
        <v>0</v>
      </c>
      <c r="G99" s="1">
        <v>3</v>
      </c>
      <c r="H99" s="1"/>
      <c r="I99" s="1"/>
    </row>
    <row r="100" spans="1:9" x14ac:dyDescent="0.3">
      <c r="A100" t="s">
        <v>10</v>
      </c>
      <c r="B100" t="s">
        <v>173</v>
      </c>
      <c r="C100" s="1">
        <v>2</v>
      </c>
      <c r="D100" s="1">
        <v>3200000</v>
      </c>
      <c r="E100" s="1"/>
      <c r="F100" s="1"/>
      <c r="G100" s="1">
        <v>4</v>
      </c>
      <c r="H100" s="1"/>
      <c r="I100" s="1"/>
    </row>
    <row r="101" spans="1:9" x14ac:dyDescent="0.3">
      <c r="A101" t="s">
        <v>10</v>
      </c>
      <c r="B101" t="s">
        <v>174</v>
      </c>
      <c r="C101" s="1">
        <v>52</v>
      </c>
      <c r="D101" s="1">
        <v>3100000</v>
      </c>
      <c r="E101" s="1">
        <v>1</v>
      </c>
      <c r="F101" s="1">
        <v>2</v>
      </c>
      <c r="G101" s="1">
        <v>3</v>
      </c>
      <c r="H101" s="1"/>
      <c r="I101" s="1"/>
    </row>
    <row r="102" spans="1:9" x14ac:dyDescent="0.3">
      <c r="A102" t="s">
        <v>10</v>
      </c>
      <c r="B102" t="s">
        <v>46</v>
      </c>
      <c r="C102" s="1">
        <v>7</v>
      </c>
      <c r="D102" s="1">
        <v>6500000</v>
      </c>
      <c r="E102" s="1"/>
      <c r="F102" s="1">
        <v>1</v>
      </c>
      <c r="G102" s="1">
        <v>2</v>
      </c>
      <c r="H102" s="1"/>
      <c r="I102" s="1"/>
    </row>
    <row r="103" spans="1:9" x14ac:dyDescent="0.3">
      <c r="A103" t="s">
        <v>10</v>
      </c>
      <c r="B103" t="s">
        <v>140</v>
      </c>
      <c r="C103" s="1">
        <v>75</v>
      </c>
      <c r="D103" s="1">
        <v>14000000</v>
      </c>
      <c r="E103" s="1">
        <v>2</v>
      </c>
      <c r="F103" s="1">
        <v>4</v>
      </c>
      <c r="G103" s="1">
        <v>5</v>
      </c>
      <c r="H103" s="1"/>
      <c r="I103" s="1"/>
    </row>
    <row r="104" spans="1:9" x14ac:dyDescent="0.3">
      <c r="A104" t="s">
        <v>10</v>
      </c>
      <c r="B104" t="s">
        <v>34</v>
      </c>
      <c r="C104" s="1">
        <v>5</v>
      </c>
      <c r="D104" s="1">
        <v>11700000</v>
      </c>
      <c r="E104" s="1"/>
      <c r="F104" s="1"/>
      <c r="G104" s="1"/>
      <c r="H104" s="1"/>
      <c r="I104" s="1"/>
    </row>
    <row r="105" spans="1:9" x14ac:dyDescent="0.3">
      <c r="A105" t="s">
        <v>10</v>
      </c>
      <c r="B105" t="s">
        <v>116</v>
      </c>
      <c r="C105" s="1">
        <v>2</v>
      </c>
      <c r="D105" s="1">
        <v>19000000</v>
      </c>
      <c r="E105" s="1"/>
      <c r="F105" s="1">
        <v>2</v>
      </c>
      <c r="G105" s="1">
        <v>2</v>
      </c>
      <c r="H105" s="1"/>
      <c r="I105" s="1"/>
    </row>
    <row r="106" spans="1:9" x14ac:dyDescent="0.3">
      <c r="A106" t="s">
        <v>10</v>
      </c>
      <c r="B106" t="s">
        <v>8</v>
      </c>
      <c r="C106" s="1">
        <v>3</v>
      </c>
      <c r="D106" s="1">
        <v>19000000</v>
      </c>
      <c r="E106" s="1"/>
      <c r="F106" s="1"/>
      <c r="G106" s="1">
        <v>2</v>
      </c>
      <c r="H106" s="1"/>
      <c r="I106" s="1"/>
    </row>
    <row r="107" spans="1:9" x14ac:dyDescent="0.3">
      <c r="A107" t="s">
        <v>10</v>
      </c>
      <c r="B107" t="s">
        <v>15</v>
      </c>
      <c r="C107" s="1">
        <v>3</v>
      </c>
      <c r="D107" s="1">
        <v>10000000</v>
      </c>
      <c r="E107" s="1"/>
      <c r="F107" s="1">
        <v>2</v>
      </c>
      <c r="G107" s="1">
        <v>3</v>
      </c>
      <c r="H107" s="1"/>
      <c r="I107" s="1"/>
    </row>
    <row r="108" spans="1:9" x14ac:dyDescent="0.3">
      <c r="A108" t="s">
        <v>175</v>
      </c>
      <c r="B108" t="s">
        <v>176</v>
      </c>
      <c r="C108" s="1">
        <v>1</v>
      </c>
      <c r="D108" s="1">
        <v>3600000</v>
      </c>
      <c r="E108" s="1"/>
      <c r="F108" s="1"/>
      <c r="G108" s="1">
        <v>2</v>
      </c>
      <c r="H108" s="1"/>
      <c r="I108" s="1"/>
    </row>
    <row r="109" spans="1:9" x14ac:dyDescent="0.3">
      <c r="A109" t="s">
        <v>96</v>
      </c>
      <c r="B109" t="s">
        <v>177</v>
      </c>
      <c r="C109" s="1"/>
      <c r="D109" s="1">
        <v>3300000</v>
      </c>
      <c r="E109" s="1"/>
      <c r="F109" s="1">
        <v>3</v>
      </c>
      <c r="G109" s="1">
        <v>4</v>
      </c>
      <c r="H109" s="1"/>
      <c r="I109" s="1"/>
    </row>
    <row r="110" spans="1:9" x14ac:dyDescent="0.3">
      <c r="A110" t="s">
        <v>96</v>
      </c>
      <c r="B110" t="s">
        <v>33</v>
      </c>
      <c r="C110" s="1">
        <v>0</v>
      </c>
      <c r="D110" s="1">
        <v>18290000</v>
      </c>
      <c r="E110" s="1"/>
      <c r="F110" s="1"/>
      <c r="G110" s="1">
        <v>2</v>
      </c>
      <c r="H110" s="1"/>
      <c r="I110" s="1"/>
    </row>
    <row r="111" spans="1:9" x14ac:dyDescent="0.3">
      <c r="A111" t="s">
        <v>142</v>
      </c>
      <c r="B111" t="s">
        <v>22</v>
      </c>
      <c r="C111" s="1"/>
      <c r="D111" s="1">
        <v>2390000</v>
      </c>
      <c r="E111" s="1"/>
      <c r="F111" s="1">
        <v>1</v>
      </c>
      <c r="G111" s="1">
        <v>4</v>
      </c>
      <c r="H111" s="1"/>
      <c r="I111" s="1"/>
    </row>
    <row r="112" spans="1:9" x14ac:dyDescent="0.3">
      <c r="A112" t="s">
        <v>142</v>
      </c>
      <c r="B112" t="s">
        <v>45</v>
      </c>
      <c r="C112" s="1">
        <v>1</v>
      </c>
      <c r="D112" s="1">
        <v>3990000</v>
      </c>
      <c r="E112" s="1">
        <v>0</v>
      </c>
      <c r="F112" s="1">
        <v>0</v>
      </c>
      <c r="G112" s="1">
        <v>3</v>
      </c>
      <c r="H112" s="1"/>
      <c r="I112" s="1"/>
    </row>
    <row r="113" spans="1:9" x14ac:dyDescent="0.3">
      <c r="A113" t="s">
        <v>93</v>
      </c>
      <c r="B113" t="s">
        <v>182</v>
      </c>
      <c r="C113" s="1">
        <v>4</v>
      </c>
      <c r="D113" s="1">
        <v>4450000</v>
      </c>
      <c r="E113" s="1"/>
      <c r="F113" s="1">
        <v>1</v>
      </c>
      <c r="G113" s="1">
        <v>4</v>
      </c>
      <c r="H113" s="1"/>
      <c r="I113" s="1"/>
    </row>
    <row r="114" spans="1:9" x14ac:dyDescent="0.3">
      <c r="A114" t="s">
        <v>10</v>
      </c>
      <c r="B114" t="s">
        <v>183</v>
      </c>
      <c r="C114" s="1">
        <v>2</v>
      </c>
      <c r="D114" s="1">
        <v>3000000</v>
      </c>
      <c r="E114" s="1"/>
      <c r="F114" s="1">
        <v>2</v>
      </c>
      <c r="G114" s="1">
        <v>3</v>
      </c>
      <c r="H114" s="1"/>
      <c r="I114" s="1"/>
    </row>
    <row r="115" spans="1:9" x14ac:dyDescent="0.3">
      <c r="A115" t="s">
        <v>10</v>
      </c>
      <c r="B115" t="s">
        <v>184</v>
      </c>
      <c r="C115" s="1">
        <v>52</v>
      </c>
      <c r="D115" s="1">
        <v>3100000</v>
      </c>
      <c r="E115" s="1"/>
      <c r="F115" s="1">
        <v>1</v>
      </c>
      <c r="G115" s="1">
        <v>3</v>
      </c>
      <c r="H115" s="1"/>
      <c r="I115" s="1"/>
    </row>
    <row r="116" spans="1:9" x14ac:dyDescent="0.3">
      <c r="A116" t="s">
        <v>10</v>
      </c>
      <c r="B116" t="s">
        <v>185</v>
      </c>
      <c r="C116" s="1">
        <v>12</v>
      </c>
      <c r="D116" s="1">
        <v>5400000</v>
      </c>
      <c r="E116" s="1"/>
      <c r="F116" s="1"/>
      <c r="G116" s="1">
        <v>2</v>
      </c>
      <c r="H116" s="1"/>
      <c r="I116" s="1"/>
    </row>
    <row r="117" spans="1:9" x14ac:dyDescent="0.3">
      <c r="A117" t="s">
        <v>10</v>
      </c>
      <c r="B117" t="s">
        <v>186</v>
      </c>
      <c r="C117" s="1"/>
      <c r="D117" s="1">
        <v>7500000</v>
      </c>
      <c r="E117" s="1"/>
      <c r="F117" s="1"/>
      <c r="G117" s="1">
        <v>2</v>
      </c>
      <c r="H117" s="1"/>
      <c r="I117" s="1"/>
    </row>
    <row r="118" spans="1:9" x14ac:dyDescent="0.3">
      <c r="A118" t="s">
        <v>10</v>
      </c>
      <c r="B118" t="s">
        <v>187</v>
      </c>
      <c r="C118" s="1">
        <v>20</v>
      </c>
      <c r="D118" s="1">
        <v>7500000</v>
      </c>
      <c r="E118" s="1"/>
      <c r="F118" s="1">
        <v>-1</v>
      </c>
      <c r="G118" s="1">
        <v>-1</v>
      </c>
      <c r="H118" s="1"/>
      <c r="I118" s="1"/>
    </row>
    <row r="119" spans="1:9" x14ac:dyDescent="0.3">
      <c r="A119" t="s">
        <v>10</v>
      </c>
      <c r="B119" t="s">
        <v>188</v>
      </c>
      <c r="C119" s="1">
        <v>5</v>
      </c>
      <c r="D119" s="1">
        <v>9650000</v>
      </c>
      <c r="E119" s="1"/>
      <c r="F119" s="1"/>
      <c r="G119" s="1">
        <v>2</v>
      </c>
      <c r="H119" s="1"/>
      <c r="I119" s="1"/>
    </row>
    <row r="120" spans="1:9" x14ac:dyDescent="0.3">
      <c r="A120" t="s">
        <v>10</v>
      </c>
      <c r="B120" t="s">
        <v>189</v>
      </c>
      <c r="C120" s="1">
        <v>6</v>
      </c>
      <c r="D120" s="1">
        <v>8750000</v>
      </c>
      <c r="E120" s="1"/>
      <c r="F120" s="1">
        <v>2</v>
      </c>
      <c r="G120" s="1">
        <v>3</v>
      </c>
      <c r="H120" s="1"/>
      <c r="I120" s="1"/>
    </row>
    <row r="121" spans="1:9" x14ac:dyDescent="0.3">
      <c r="A121" t="s">
        <v>10</v>
      </c>
      <c r="B121" t="s">
        <v>56</v>
      </c>
      <c r="C121" s="1">
        <v>11</v>
      </c>
      <c r="D121" s="1">
        <v>15700000</v>
      </c>
      <c r="E121" s="1"/>
      <c r="F121" s="1">
        <v>1</v>
      </c>
      <c r="G121" s="1">
        <v>3</v>
      </c>
      <c r="H121" s="1">
        <v>6</v>
      </c>
      <c r="I121" s="1">
        <v>6</v>
      </c>
    </row>
    <row r="122" spans="1:9" x14ac:dyDescent="0.3">
      <c r="A122" t="s">
        <v>10</v>
      </c>
      <c r="B122" t="s">
        <v>11</v>
      </c>
      <c r="C122" s="1">
        <v>8</v>
      </c>
      <c r="D122" s="1">
        <v>14250000</v>
      </c>
      <c r="E122" s="1"/>
      <c r="F122" s="1"/>
      <c r="G122" s="1">
        <v>1</v>
      </c>
      <c r="H122" s="1"/>
      <c r="I122" s="1"/>
    </row>
    <row r="123" spans="1:9" x14ac:dyDescent="0.3">
      <c r="A123" t="s">
        <v>10</v>
      </c>
      <c r="B123" t="s">
        <v>20</v>
      </c>
      <c r="C123" s="1">
        <v>1</v>
      </c>
      <c r="D123" s="1">
        <v>31000000</v>
      </c>
      <c r="E123" s="1"/>
      <c r="F123" s="1"/>
      <c r="G123" s="1">
        <v>1</v>
      </c>
      <c r="H123" s="1"/>
      <c r="I123" s="1"/>
    </row>
    <row r="124" spans="1:9" x14ac:dyDescent="0.3">
      <c r="A124" t="s">
        <v>125</v>
      </c>
      <c r="B124" t="s">
        <v>165</v>
      </c>
      <c r="C124" s="1"/>
      <c r="D124" s="1">
        <v>600000</v>
      </c>
      <c r="E124" s="1"/>
      <c r="F124" s="1"/>
      <c r="G124" s="1"/>
      <c r="H124" s="1"/>
      <c r="I124" s="1"/>
    </row>
    <row r="125" spans="1:9" x14ac:dyDescent="0.3">
      <c r="A125" t="s">
        <v>125</v>
      </c>
      <c r="B125" t="s">
        <v>190</v>
      </c>
      <c r="C125" s="1">
        <v>1</v>
      </c>
      <c r="D125" s="1">
        <v>2890000</v>
      </c>
      <c r="E125" s="1"/>
      <c r="F125" s="1">
        <v>1</v>
      </c>
      <c r="G125" s="1">
        <v>2</v>
      </c>
      <c r="H125" s="1"/>
      <c r="I125" s="1"/>
    </row>
    <row r="126" spans="1:9" x14ac:dyDescent="0.3">
      <c r="A126" t="s">
        <v>121</v>
      </c>
      <c r="B126" t="s">
        <v>102</v>
      </c>
      <c r="C126" s="1"/>
      <c r="D126" s="1">
        <v>16790000</v>
      </c>
      <c r="E126" s="1"/>
      <c r="F126" s="1"/>
      <c r="G126" s="1">
        <v>1</v>
      </c>
      <c r="H126" s="1"/>
      <c r="I126" s="1"/>
    </row>
    <row r="127" spans="1:9" x14ac:dyDescent="0.3">
      <c r="A127" t="s">
        <v>175</v>
      </c>
      <c r="B127" t="s">
        <v>39</v>
      </c>
      <c r="C127" s="1">
        <v>1</v>
      </c>
      <c r="D127" s="1">
        <v>2450000</v>
      </c>
      <c r="E127" s="1">
        <v>1</v>
      </c>
      <c r="F127" s="1">
        <v>1</v>
      </c>
      <c r="G127" s="1">
        <v>2</v>
      </c>
      <c r="H127" s="1"/>
      <c r="I127" s="1"/>
    </row>
    <row r="128" spans="1:9" x14ac:dyDescent="0.3">
      <c r="A128" t="s">
        <v>96</v>
      </c>
      <c r="B128" t="s">
        <v>14</v>
      </c>
      <c r="C128" s="1">
        <v>5</v>
      </c>
      <c r="D128" s="1">
        <v>2700000</v>
      </c>
      <c r="E128" s="1"/>
      <c r="F128" s="1">
        <v>1</v>
      </c>
      <c r="G128" s="1">
        <v>3</v>
      </c>
      <c r="H128" s="1"/>
      <c r="I128" s="1"/>
    </row>
    <row r="129" spans="1:9" x14ac:dyDescent="0.3">
      <c r="A129" t="s">
        <v>96</v>
      </c>
      <c r="B129" t="s">
        <v>16</v>
      </c>
      <c r="C129" s="1">
        <v>1</v>
      </c>
      <c r="D129" s="1">
        <v>4990000</v>
      </c>
      <c r="E129" s="1"/>
      <c r="F129" s="1"/>
      <c r="G129" s="1">
        <v>1</v>
      </c>
      <c r="H129" s="1"/>
      <c r="I129" s="1"/>
    </row>
    <row r="130" spans="1:9" x14ac:dyDescent="0.3">
      <c r="A130" t="s">
        <v>96</v>
      </c>
      <c r="B130" t="s">
        <v>191</v>
      </c>
      <c r="C130" s="1">
        <v>1</v>
      </c>
      <c r="D130" s="1">
        <v>3500000</v>
      </c>
      <c r="E130" s="1"/>
      <c r="F130" s="1">
        <v>1</v>
      </c>
      <c r="G130" s="1">
        <v>2</v>
      </c>
      <c r="H130" s="1"/>
      <c r="I130" s="1">
        <v>1</v>
      </c>
    </row>
    <row r="131" spans="1:9" x14ac:dyDescent="0.3">
      <c r="A131" t="s">
        <v>96</v>
      </c>
      <c r="B131" t="s">
        <v>192</v>
      </c>
      <c r="C131" s="1">
        <v>3</v>
      </c>
      <c r="D131" s="1">
        <v>5400000</v>
      </c>
      <c r="E131" s="1"/>
      <c r="F131" s="1">
        <v>0</v>
      </c>
      <c r="G131" s="1">
        <v>2</v>
      </c>
      <c r="H131" s="1"/>
      <c r="I131" s="1"/>
    </row>
    <row r="132" spans="1:9" x14ac:dyDescent="0.3">
      <c r="A132" t="s">
        <v>96</v>
      </c>
      <c r="B132" t="s">
        <v>18</v>
      </c>
      <c r="C132" s="1"/>
      <c r="D132" s="1">
        <v>4290000</v>
      </c>
      <c r="E132" s="1">
        <v>1</v>
      </c>
      <c r="F132" s="1">
        <v>1</v>
      </c>
      <c r="G132" s="1">
        <v>2</v>
      </c>
      <c r="H132" s="1"/>
      <c r="I132" s="1"/>
    </row>
    <row r="133" spans="1:9" x14ac:dyDescent="0.3">
      <c r="A133" t="s">
        <v>96</v>
      </c>
      <c r="B133" t="s">
        <v>193</v>
      </c>
      <c r="C133" s="1">
        <v>4</v>
      </c>
      <c r="D133" s="1">
        <v>14000000</v>
      </c>
      <c r="E133" s="1"/>
      <c r="F133" s="1">
        <v>1</v>
      </c>
      <c r="G133" s="1">
        <v>4</v>
      </c>
      <c r="H133" s="1">
        <v>1</v>
      </c>
      <c r="I133" s="1">
        <v>1</v>
      </c>
    </row>
    <row r="134" spans="1:9" x14ac:dyDescent="0.3">
      <c r="A134" t="s">
        <v>96</v>
      </c>
      <c r="B134" t="s">
        <v>194</v>
      </c>
      <c r="C134" s="1">
        <v>1</v>
      </c>
      <c r="D134" s="1">
        <v>4000000</v>
      </c>
      <c r="E134" s="1">
        <v>1</v>
      </c>
      <c r="F134" s="1">
        <v>1</v>
      </c>
      <c r="G134" s="1">
        <v>1</v>
      </c>
      <c r="H134" s="1"/>
      <c r="I134" s="1"/>
    </row>
    <row r="135" spans="1:9" x14ac:dyDescent="0.3">
      <c r="A135" t="s">
        <v>98</v>
      </c>
      <c r="B135" t="s">
        <v>6</v>
      </c>
      <c r="C135" s="1">
        <v>3</v>
      </c>
      <c r="D135" s="1">
        <v>2390000</v>
      </c>
      <c r="E135" s="1"/>
      <c r="F135" s="1"/>
      <c r="G135" s="1">
        <v>2</v>
      </c>
      <c r="H135" s="1"/>
      <c r="I135" s="1"/>
    </row>
    <row r="136" spans="1:9" x14ac:dyDescent="0.3">
      <c r="A136" t="s">
        <v>98</v>
      </c>
      <c r="B136" t="s">
        <v>23</v>
      </c>
      <c r="C136" s="1">
        <v>2</v>
      </c>
      <c r="D136" s="1">
        <v>1090000</v>
      </c>
      <c r="E136" s="1"/>
      <c r="F136" s="1"/>
      <c r="G136" s="1">
        <v>2</v>
      </c>
      <c r="H136" s="1"/>
      <c r="I136" s="1"/>
    </row>
    <row r="137" spans="1:9" x14ac:dyDescent="0.3">
      <c r="A137" t="s">
        <v>142</v>
      </c>
      <c r="B137" t="s">
        <v>195</v>
      </c>
      <c r="C137" s="1">
        <v>1</v>
      </c>
      <c r="D137" s="1">
        <v>7790000</v>
      </c>
      <c r="E137" s="1"/>
      <c r="F137" s="1">
        <v>1</v>
      </c>
      <c r="G137" s="1">
        <v>3</v>
      </c>
      <c r="H137" s="1"/>
      <c r="I137" s="1"/>
    </row>
    <row r="138" spans="1:9" x14ac:dyDescent="0.3">
      <c r="A138" t="s">
        <v>156</v>
      </c>
      <c r="B138" t="s">
        <v>43</v>
      </c>
      <c r="C138" s="1">
        <v>1</v>
      </c>
      <c r="D138" s="1">
        <v>4500000</v>
      </c>
      <c r="E138" s="1"/>
      <c r="F138" s="1">
        <v>1</v>
      </c>
      <c r="G138" s="1">
        <v>2</v>
      </c>
      <c r="H138" s="1"/>
      <c r="I138" s="1"/>
    </row>
    <row r="139" spans="1:9" x14ac:dyDescent="0.3">
      <c r="A139" t="s">
        <v>201</v>
      </c>
      <c r="B139" t="s">
        <v>202</v>
      </c>
      <c r="C139" s="1">
        <v>3</v>
      </c>
      <c r="D139" s="1">
        <v>3190000</v>
      </c>
      <c r="E139" s="1">
        <v>1</v>
      </c>
      <c r="F139" s="1">
        <v>1</v>
      </c>
      <c r="G139" s="1">
        <v>2</v>
      </c>
      <c r="H139" s="1"/>
      <c r="I139" s="1"/>
    </row>
    <row r="140" spans="1:9" x14ac:dyDescent="0.3">
      <c r="A140" t="s">
        <v>143</v>
      </c>
      <c r="B140" t="s">
        <v>123</v>
      </c>
      <c r="C140" s="1">
        <v>1</v>
      </c>
      <c r="D140" s="1">
        <v>12090000</v>
      </c>
      <c r="E140" s="1"/>
      <c r="F140" s="1"/>
      <c r="G140" s="1"/>
      <c r="H140" s="1"/>
      <c r="I140" s="1"/>
    </row>
    <row r="141" spans="1:9" x14ac:dyDescent="0.3">
      <c r="A141" t="s">
        <v>143</v>
      </c>
      <c r="B141" t="s">
        <v>203</v>
      </c>
      <c r="C141" s="1">
        <v>3</v>
      </c>
      <c r="D141" s="1">
        <v>18990000</v>
      </c>
      <c r="E141" s="1"/>
      <c r="F141" s="1"/>
      <c r="G141" s="1"/>
      <c r="H141" s="1"/>
      <c r="I141" s="1"/>
    </row>
    <row r="142" spans="1:9" x14ac:dyDescent="0.3">
      <c r="A142" t="s">
        <v>93</v>
      </c>
      <c r="B142" t="s">
        <v>204</v>
      </c>
      <c r="C142" s="1">
        <v>12</v>
      </c>
      <c r="D142" s="1">
        <v>9000000</v>
      </c>
      <c r="E142" s="1"/>
      <c r="F142" s="1">
        <v>1</v>
      </c>
      <c r="G142" s="1">
        <v>3</v>
      </c>
      <c r="H142" s="1"/>
      <c r="I142" s="1"/>
    </row>
    <row r="143" spans="1:9" x14ac:dyDescent="0.3">
      <c r="A143" t="s">
        <v>93</v>
      </c>
      <c r="B143" t="s">
        <v>3</v>
      </c>
      <c r="C143" s="1">
        <v>20</v>
      </c>
      <c r="D143" s="1">
        <v>7000000</v>
      </c>
      <c r="E143" s="1">
        <v>1</v>
      </c>
      <c r="F143" s="1">
        <v>1</v>
      </c>
      <c r="G143" s="1">
        <v>2</v>
      </c>
      <c r="H143" s="1"/>
      <c r="I143" s="1"/>
    </row>
    <row r="144" spans="1:9" x14ac:dyDescent="0.3">
      <c r="A144" t="s">
        <v>93</v>
      </c>
      <c r="B144" t="s">
        <v>205</v>
      </c>
      <c r="C144" s="1">
        <v>6</v>
      </c>
      <c r="D144" s="1">
        <v>6600000</v>
      </c>
      <c r="E144" s="1"/>
      <c r="F144" s="1"/>
      <c r="G144" s="1">
        <v>2</v>
      </c>
      <c r="H144" s="1"/>
      <c r="I144" s="1"/>
    </row>
    <row r="145" spans="1:9" x14ac:dyDescent="0.3">
      <c r="A145" t="s">
        <v>93</v>
      </c>
      <c r="B145" t="s">
        <v>206</v>
      </c>
      <c r="C145" s="1"/>
      <c r="D145" s="1">
        <v>9900000</v>
      </c>
      <c r="E145" s="1"/>
      <c r="F145" s="1"/>
      <c r="G145" s="1">
        <v>1</v>
      </c>
      <c r="H145" s="1"/>
      <c r="I145" s="1"/>
    </row>
    <row r="146" spans="1:9" x14ac:dyDescent="0.3">
      <c r="A146" t="s">
        <v>93</v>
      </c>
      <c r="B146" t="s">
        <v>127</v>
      </c>
      <c r="C146" s="1"/>
      <c r="D146" s="1">
        <v>21000000</v>
      </c>
      <c r="E146" s="1"/>
      <c r="F146" s="1"/>
      <c r="G146" s="1"/>
      <c r="H146" s="1"/>
      <c r="I146" s="1"/>
    </row>
    <row r="147" spans="1:9" x14ac:dyDescent="0.3">
      <c r="A147" t="s">
        <v>10</v>
      </c>
      <c r="B147" t="s">
        <v>207</v>
      </c>
      <c r="C147" s="1">
        <v>4</v>
      </c>
      <c r="D147" s="1">
        <v>3500000</v>
      </c>
      <c r="E147" s="1"/>
      <c r="F147" s="1">
        <v>1</v>
      </c>
      <c r="G147" s="1">
        <v>2</v>
      </c>
      <c r="H147" s="1"/>
      <c r="I147" s="1"/>
    </row>
    <row r="148" spans="1:9" x14ac:dyDescent="0.3">
      <c r="A148" t="s">
        <v>10</v>
      </c>
      <c r="B148" t="s">
        <v>208</v>
      </c>
      <c r="C148" s="1">
        <v>5</v>
      </c>
      <c r="D148" s="1">
        <v>3500000</v>
      </c>
      <c r="E148" s="1"/>
      <c r="F148" s="1"/>
      <c r="G148" s="1">
        <v>3</v>
      </c>
      <c r="H148" s="1"/>
      <c r="I148" s="1"/>
    </row>
    <row r="149" spans="1:9" x14ac:dyDescent="0.3">
      <c r="A149" t="s">
        <v>10</v>
      </c>
      <c r="B149" t="s">
        <v>209</v>
      </c>
      <c r="C149" s="1">
        <v>2</v>
      </c>
      <c r="D149" s="1">
        <v>3500000</v>
      </c>
      <c r="E149" s="1"/>
      <c r="F149" s="1"/>
      <c r="G149" s="1">
        <v>1</v>
      </c>
      <c r="H149" s="1"/>
      <c r="I149" s="1"/>
    </row>
    <row r="150" spans="1:9" x14ac:dyDescent="0.3">
      <c r="A150" t="s">
        <v>10</v>
      </c>
      <c r="B150" t="s">
        <v>210</v>
      </c>
      <c r="C150" s="1">
        <v>10</v>
      </c>
      <c r="D150" s="1">
        <v>4800000</v>
      </c>
      <c r="E150" s="1"/>
      <c r="F150" s="1">
        <v>1</v>
      </c>
      <c r="G150" s="1">
        <v>2</v>
      </c>
      <c r="H150" s="1"/>
      <c r="I150" s="1"/>
    </row>
    <row r="151" spans="1:9" x14ac:dyDescent="0.3">
      <c r="A151" t="s">
        <v>10</v>
      </c>
      <c r="B151" t="s">
        <v>211</v>
      </c>
      <c r="C151" s="1">
        <v>4</v>
      </c>
      <c r="D151" s="1">
        <v>5400000</v>
      </c>
      <c r="E151" s="1"/>
      <c r="F151" s="1"/>
      <c r="G151" s="1">
        <v>1</v>
      </c>
      <c r="H151" s="1"/>
      <c r="I151" s="1"/>
    </row>
    <row r="152" spans="1:9" x14ac:dyDescent="0.3">
      <c r="A152" t="s">
        <v>10</v>
      </c>
      <c r="B152" t="s">
        <v>212</v>
      </c>
      <c r="C152" s="1">
        <v>6</v>
      </c>
      <c r="D152" s="1">
        <v>6200000</v>
      </c>
      <c r="E152" s="1">
        <v>1</v>
      </c>
      <c r="F152" s="1">
        <v>1</v>
      </c>
      <c r="G152" s="1">
        <v>1</v>
      </c>
      <c r="H152" s="1"/>
      <c r="I152" s="1"/>
    </row>
    <row r="153" spans="1:9" x14ac:dyDescent="0.3">
      <c r="A153" t="s">
        <v>10</v>
      </c>
      <c r="B153" t="s">
        <v>213</v>
      </c>
      <c r="C153" s="1">
        <v>3</v>
      </c>
      <c r="D153" s="1">
        <v>11600000</v>
      </c>
      <c r="E153" s="1"/>
      <c r="F153" s="1"/>
      <c r="G153" s="1">
        <v>1</v>
      </c>
      <c r="H153" s="1"/>
      <c r="I153" s="1"/>
    </row>
    <row r="154" spans="1:9" x14ac:dyDescent="0.3">
      <c r="A154" t="s">
        <v>10</v>
      </c>
      <c r="B154" t="s">
        <v>214</v>
      </c>
      <c r="C154" s="1">
        <v>5</v>
      </c>
      <c r="D154" s="1">
        <v>10100000</v>
      </c>
      <c r="E154" s="1">
        <v>1</v>
      </c>
      <c r="F154" s="1">
        <v>2</v>
      </c>
      <c r="G154" s="1">
        <v>2</v>
      </c>
      <c r="H154" s="1"/>
      <c r="I154" s="1"/>
    </row>
    <row r="155" spans="1:9" x14ac:dyDescent="0.3">
      <c r="A155" t="s">
        <v>215</v>
      </c>
      <c r="B155" t="s">
        <v>216</v>
      </c>
      <c r="C155" s="1"/>
      <c r="D155" s="1">
        <v>1200000</v>
      </c>
      <c r="E155" s="1"/>
      <c r="F155" s="1"/>
      <c r="G155" s="1"/>
      <c r="H155" s="1"/>
      <c r="I155" s="1"/>
    </row>
    <row r="156" spans="1:9" x14ac:dyDescent="0.3">
      <c r="A156" t="s">
        <v>125</v>
      </c>
      <c r="B156" t="s">
        <v>217</v>
      </c>
      <c r="C156" s="1">
        <v>1</v>
      </c>
      <c r="D156" s="1">
        <v>1690000</v>
      </c>
      <c r="E156" s="1">
        <v>1</v>
      </c>
      <c r="F156" s="1">
        <v>1</v>
      </c>
      <c r="G156" s="1">
        <v>2</v>
      </c>
      <c r="H156" s="1"/>
      <c r="I156" s="1"/>
    </row>
    <row r="157" spans="1:9" x14ac:dyDescent="0.3">
      <c r="A157" t="s">
        <v>125</v>
      </c>
      <c r="B157" t="s">
        <v>218</v>
      </c>
      <c r="C157" s="1"/>
      <c r="D157" s="1">
        <v>3000000</v>
      </c>
      <c r="E157" s="1"/>
      <c r="F157" s="1">
        <v>2</v>
      </c>
      <c r="G157" s="1">
        <v>2</v>
      </c>
      <c r="H157" s="1"/>
      <c r="I157" s="1"/>
    </row>
    <row r="158" spans="1:9" x14ac:dyDescent="0.3">
      <c r="A158" t="s">
        <v>121</v>
      </c>
      <c r="B158" t="s">
        <v>63</v>
      </c>
      <c r="C158" s="1"/>
      <c r="D158" s="1">
        <v>2990000</v>
      </c>
      <c r="E158" s="1"/>
      <c r="F158" s="1"/>
      <c r="G158" s="1"/>
      <c r="H158" s="1"/>
      <c r="I158" s="1"/>
    </row>
    <row r="159" spans="1:9" x14ac:dyDescent="0.3">
      <c r="A159" t="s">
        <v>121</v>
      </c>
      <c r="B159" t="s">
        <v>136</v>
      </c>
      <c r="C159" s="1">
        <v>3</v>
      </c>
      <c r="D159" s="1">
        <v>3990000</v>
      </c>
      <c r="E159" s="1"/>
      <c r="F159" s="1">
        <v>1</v>
      </c>
      <c r="G159" s="1">
        <v>2</v>
      </c>
      <c r="H159" s="1"/>
      <c r="I159" s="1"/>
    </row>
    <row r="160" spans="1:9" x14ac:dyDescent="0.3">
      <c r="A160" t="s">
        <v>96</v>
      </c>
      <c r="B160" t="s">
        <v>219</v>
      </c>
      <c r="C160" s="1">
        <v>2</v>
      </c>
      <c r="D160" s="1">
        <v>10500000</v>
      </c>
      <c r="E160" s="1"/>
      <c r="F160" s="1"/>
      <c r="G160" s="1">
        <v>1</v>
      </c>
      <c r="H160" s="1"/>
      <c r="I160" s="1">
        <v>1</v>
      </c>
    </row>
    <row r="161" spans="1:9" x14ac:dyDescent="0.3">
      <c r="A161" t="s">
        <v>96</v>
      </c>
      <c r="B161" t="s">
        <v>220</v>
      </c>
      <c r="C161" s="1">
        <v>4</v>
      </c>
      <c r="D161" s="1">
        <v>16500000</v>
      </c>
      <c r="E161" s="1">
        <v>1</v>
      </c>
      <c r="F161" s="1">
        <v>3</v>
      </c>
      <c r="G161" s="1">
        <v>3</v>
      </c>
      <c r="H161" s="1"/>
      <c r="I161" s="1"/>
    </row>
    <row r="162" spans="1:9" x14ac:dyDescent="0.3">
      <c r="A162" t="s">
        <v>96</v>
      </c>
      <c r="B162" t="s">
        <v>221</v>
      </c>
      <c r="C162" s="1">
        <v>4</v>
      </c>
      <c r="D162" s="1">
        <v>15500000</v>
      </c>
      <c r="E162" s="1"/>
      <c r="F162" s="1"/>
      <c r="G162" s="1">
        <v>1</v>
      </c>
      <c r="H162" s="1"/>
      <c r="I162" s="1"/>
    </row>
    <row r="163" spans="1:9" x14ac:dyDescent="0.3">
      <c r="A163" t="s">
        <v>142</v>
      </c>
      <c r="B163" t="s">
        <v>222</v>
      </c>
      <c r="C163" s="1"/>
      <c r="D163" s="1">
        <v>9750000</v>
      </c>
      <c r="E163" s="1"/>
      <c r="F163" s="1">
        <v>1</v>
      </c>
      <c r="G163" s="1">
        <v>2</v>
      </c>
      <c r="H163" s="1"/>
      <c r="I163" s="1"/>
    </row>
    <row r="164" spans="1:9" x14ac:dyDescent="0.3">
      <c r="A164" t="s">
        <v>142</v>
      </c>
      <c r="B164" t="s">
        <v>223</v>
      </c>
      <c r="C164" s="1">
        <v>1</v>
      </c>
      <c r="D164" s="1">
        <v>2790000</v>
      </c>
      <c r="E164" s="1"/>
      <c r="F164" s="1">
        <v>1</v>
      </c>
      <c r="G164" s="1">
        <v>3</v>
      </c>
      <c r="H164" s="1"/>
      <c r="I164" s="1"/>
    </row>
    <row r="165" spans="1:9" x14ac:dyDescent="0.3">
      <c r="A165" t="s">
        <v>142</v>
      </c>
      <c r="B165" t="s">
        <v>104</v>
      </c>
      <c r="C165" s="1">
        <v>1</v>
      </c>
      <c r="D165" s="1">
        <v>4390000</v>
      </c>
      <c r="E165" s="1">
        <v>1</v>
      </c>
      <c r="F165" s="1">
        <v>1</v>
      </c>
      <c r="G165" s="1">
        <v>1</v>
      </c>
      <c r="H165" s="1"/>
      <c r="I165" s="1"/>
    </row>
    <row r="166" spans="1:9" x14ac:dyDescent="0.3">
      <c r="A166" t="s">
        <v>156</v>
      </c>
      <c r="B166" t="s">
        <v>228</v>
      </c>
      <c r="C166" s="1"/>
      <c r="D166" s="1">
        <v>5200000</v>
      </c>
      <c r="E166" s="1"/>
      <c r="F166" s="1"/>
      <c r="G166" s="1"/>
      <c r="H166" s="1"/>
      <c r="I166" s="1"/>
    </row>
    <row r="167" spans="1:9" x14ac:dyDescent="0.3">
      <c r="A167" t="s">
        <v>156</v>
      </c>
      <c r="B167" t="s">
        <v>41</v>
      </c>
      <c r="C167" s="1">
        <v>9</v>
      </c>
      <c r="D167" s="1">
        <v>9200000</v>
      </c>
      <c r="E167" s="1"/>
      <c r="F167" s="1"/>
      <c r="G167" s="1"/>
      <c r="H167" s="1"/>
      <c r="I167" s="1">
        <v>8</v>
      </c>
    </row>
    <row r="168" spans="1:9" x14ac:dyDescent="0.3">
      <c r="A168" t="s">
        <v>156</v>
      </c>
      <c r="B168" t="s">
        <v>50</v>
      </c>
      <c r="C168" s="1">
        <v>4</v>
      </c>
      <c r="D168" s="1">
        <v>10500000</v>
      </c>
      <c r="E168" s="1"/>
      <c r="F168" s="1"/>
      <c r="G168" s="1">
        <v>1</v>
      </c>
      <c r="H168" s="1"/>
      <c r="I168" s="1"/>
    </row>
    <row r="169" spans="1:9" x14ac:dyDescent="0.3">
      <c r="A169" t="s">
        <v>156</v>
      </c>
      <c r="B169" t="s">
        <v>229</v>
      </c>
      <c r="C169" s="1">
        <v>1</v>
      </c>
      <c r="D169" s="1">
        <v>9100000</v>
      </c>
      <c r="E169" s="1"/>
      <c r="F169" s="1">
        <v>1</v>
      </c>
      <c r="G169" s="1">
        <v>1</v>
      </c>
      <c r="H169" s="1"/>
      <c r="I169" s="1"/>
    </row>
    <row r="170" spans="1:9" x14ac:dyDescent="0.3">
      <c r="A170" t="s">
        <v>201</v>
      </c>
      <c r="B170" t="s">
        <v>230</v>
      </c>
      <c r="C170" s="1">
        <v>2</v>
      </c>
      <c r="D170" s="1">
        <v>14800000</v>
      </c>
      <c r="E170" s="1"/>
      <c r="F170" s="1"/>
      <c r="G170" s="1">
        <v>1</v>
      </c>
      <c r="H170" s="1"/>
      <c r="I170" s="1"/>
    </row>
    <row r="171" spans="1:9" x14ac:dyDescent="0.3">
      <c r="A171" t="s">
        <v>93</v>
      </c>
      <c r="B171" t="s">
        <v>28</v>
      </c>
      <c r="C171" s="1"/>
      <c r="D171" s="1">
        <v>9200000</v>
      </c>
      <c r="E171" s="1">
        <v>1</v>
      </c>
      <c r="F171" s="1">
        <v>1</v>
      </c>
      <c r="G171" s="1">
        <v>1</v>
      </c>
      <c r="H171" s="1"/>
      <c r="I171" s="1"/>
    </row>
    <row r="172" spans="1:9" x14ac:dyDescent="0.3">
      <c r="A172" t="s">
        <v>93</v>
      </c>
      <c r="B172" t="s">
        <v>231</v>
      </c>
      <c r="C172" s="1">
        <v>16</v>
      </c>
      <c r="D172" s="1">
        <v>6600000</v>
      </c>
      <c r="E172" s="1"/>
      <c r="F172" s="1">
        <v>1</v>
      </c>
      <c r="G172" s="1">
        <v>2</v>
      </c>
      <c r="H172" s="1"/>
      <c r="I172" s="1">
        <v>10</v>
      </c>
    </row>
    <row r="173" spans="1:9" x14ac:dyDescent="0.3">
      <c r="A173" t="s">
        <v>93</v>
      </c>
      <c r="B173" t="s">
        <v>232</v>
      </c>
      <c r="C173" s="1">
        <v>1</v>
      </c>
      <c r="D173" s="1">
        <v>6500000</v>
      </c>
      <c r="E173" s="1"/>
      <c r="F173" s="1"/>
      <c r="G173" s="1"/>
      <c r="H173" s="1"/>
      <c r="I173" s="1"/>
    </row>
    <row r="174" spans="1:9" x14ac:dyDescent="0.3">
      <c r="A174" t="s">
        <v>93</v>
      </c>
      <c r="B174" t="s">
        <v>233</v>
      </c>
      <c r="C174" s="1">
        <v>3</v>
      </c>
      <c r="D174" s="1">
        <v>6500000</v>
      </c>
      <c r="E174" s="1"/>
      <c r="F174" s="1">
        <v>1</v>
      </c>
      <c r="G174" s="1">
        <v>1</v>
      </c>
      <c r="H174" s="1"/>
      <c r="I174" s="1"/>
    </row>
    <row r="175" spans="1:9" x14ac:dyDescent="0.3">
      <c r="A175" t="s">
        <v>93</v>
      </c>
      <c r="B175" t="s">
        <v>234</v>
      </c>
      <c r="C175" s="1"/>
      <c r="D175" s="1">
        <v>7950000</v>
      </c>
      <c r="E175" s="1"/>
      <c r="F175" s="1"/>
      <c r="G175" s="1">
        <v>1</v>
      </c>
      <c r="H175" s="1"/>
      <c r="I175" s="1"/>
    </row>
    <row r="176" spans="1:9" x14ac:dyDescent="0.3">
      <c r="A176" t="s">
        <v>10</v>
      </c>
      <c r="B176" t="s">
        <v>42</v>
      </c>
      <c r="C176" s="1">
        <v>4</v>
      </c>
      <c r="D176" s="1">
        <v>11590000</v>
      </c>
      <c r="E176" s="1"/>
      <c r="F176" s="1"/>
      <c r="G176" s="1">
        <v>2</v>
      </c>
      <c r="H176" s="1"/>
      <c r="I176" s="1"/>
    </row>
    <row r="177" spans="1:9" x14ac:dyDescent="0.3">
      <c r="A177" t="s">
        <v>10</v>
      </c>
      <c r="B177" t="s">
        <v>235</v>
      </c>
      <c r="C177" s="1">
        <v>1</v>
      </c>
      <c r="D177" s="1">
        <v>4700000</v>
      </c>
      <c r="E177" s="1">
        <v>1</v>
      </c>
      <c r="F177" s="1">
        <v>1</v>
      </c>
      <c r="G177" s="1">
        <v>1</v>
      </c>
      <c r="H177" s="1"/>
      <c r="I177" s="1"/>
    </row>
    <row r="178" spans="1:9" x14ac:dyDescent="0.3">
      <c r="A178" t="s">
        <v>10</v>
      </c>
      <c r="B178" t="s">
        <v>236</v>
      </c>
      <c r="C178" s="1">
        <v>7</v>
      </c>
      <c r="D178" s="1">
        <v>5400000</v>
      </c>
      <c r="E178" s="1"/>
      <c r="F178" s="1"/>
      <c r="G178" s="1"/>
      <c r="H178" s="1"/>
      <c r="I178" s="1"/>
    </row>
    <row r="179" spans="1:9" x14ac:dyDescent="0.3">
      <c r="A179" t="s">
        <v>10</v>
      </c>
      <c r="B179" t="s">
        <v>237</v>
      </c>
      <c r="C179" s="1">
        <v>11</v>
      </c>
      <c r="D179" s="1">
        <v>5400000</v>
      </c>
      <c r="E179" s="1">
        <v>2</v>
      </c>
      <c r="F179" s="1">
        <v>3</v>
      </c>
      <c r="G179" s="1">
        <v>3</v>
      </c>
      <c r="H179" s="1"/>
      <c r="I179" s="1"/>
    </row>
    <row r="180" spans="1:9" x14ac:dyDescent="0.3">
      <c r="A180" t="s">
        <v>10</v>
      </c>
      <c r="B180" t="s">
        <v>238</v>
      </c>
      <c r="C180" s="1">
        <v>2</v>
      </c>
      <c r="D180" s="1">
        <v>5100000</v>
      </c>
      <c r="E180" s="1"/>
      <c r="F180" s="1"/>
      <c r="G180" s="1"/>
      <c r="H180" s="1"/>
      <c r="I180" s="1"/>
    </row>
    <row r="181" spans="1:9" x14ac:dyDescent="0.3">
      <c r="A181" t="s">
        <v>10</v>
      </c>
      <c r="B181" t="s">
        <v>239</v>
      </c>
      <c r="C181" s="1">
        <v>2</v>
      </c>
      <c r="D181" s="1">
        <v>3800000</v>
      </c>
      <c r="E181" s="1"/>
      <c r="F181" s="1"/>
      <c r="G181" s="1">
        <v>2</v>
      </c>
      <c r="H181" s="1"/>
      <c r="I181" s="1"/>
    </row>
    <row r="182" spans="1:9" x14ac:dyDescent="0.3">
      <c r="A182" t="s">
        <v>10</v>
      </c>
      <c r="B182" t="s">
        <v>240</v>
      </c>
      <c r="C182" s="1">
        <v>1</v>
      </c>
      <c r="D182" s="1">
        <v>7600000</v>
      </c>
      <c r="E182" s="1"/>
      <c r="F182" s="1">
        <v>2</v>
      </c>
      <c r="G182" s="1">
        <v>2</v>
      </c>
      <c r="H182" s="1"/>
      <c r="I182" s="1">
        <v>1</v>
      </c>
    </row>
    <row r="183" spans="1:9" x14ac:dyDescent="0.3">
      <c r="A183" t="s">
        <v>10</v>
      </c>
      <c r="B183" t="s">
        <v>241</v>
      </c>
      <c r="C183" s="1">
        <v>1</v>
      </c>
      <c r="D183" s="1">
        <v>7100000</v>
      </c>
      <c r="E183" s="1"/>
      <c r="F183" s="1">
        <v>1</v>
      </c>
      <c r="G183" s="1">
        <v>1</v>
      </c>
      <c r="H183" s="1"/>
      <c r="I183" s="1"/>
    </row>
    <row r="184" spans="1:9" x14ac:dyDescent="0.3">
      <c r="A184" t="s">
        <v>10</v>
      </c>
      <c r="B184" t="s">
        <v>242</v>
      </c>
      <c r="C184" s="1"/>
      <c r="D184" s="1">
        <v>7600000</v>
      </c>
      <c r="E184" s="1">
        <v>-1</v>
      </c>
      <c r="F184" s="1">
        <v>-1</v>
      </c>
      <c r="G184" s="1">
        <v>0</v>
      </c>
      <c r="H184" s="1"/>
      <c r="I184" s="1"/>
    </row>
    <row r="185" spans="1:9" x14ac:dyDescent="0.3">
      <c r="A185" t="s">
        <v>10</v>
      </c>
      <c r="B185" t="s">
        <v>243</v>
      </c>
      <c r="C185" s="1"/>
      <c r="D185" s="1">
        <v>7800000</v>
      </c>
      <c r="E185" s="1"/>
      <c r="F185" s="1"/>
      <c r="G185" s="1">
        <v>2</v>
      </c>
      <c r="H185" s="1"/>
      <c r="I185" s="1"/>
    </row>
    <row r="186" spans="1:9" x14ac:dyDescent="0.3">
      <c r="A186" t="s">
        <v>10</v>
      </c>
      <c r="B186" t="s">
        <v>244</v>
      </c>
      <c r="C186" s="1">
        <v>1</v>
      </c>
      <c r="D186" s="1">
        <v>7500000</v>
      </c>
      <c r="E186" s="1"/>
      <c r="F186" s="1"/>
      <c r="G186" s="1"/>
      <c r="H186" s="1"/>
      <c r="I186" s="1"/>
    </row>
    <row r="187" spans="1:9" x14ac:dyDescent="0.3">
      <c r="A187" t="s">
        <v>10</v>
      </c>
      <c r="B187" t="s">
        <v>245</v>
      </c>
      <c r="C187" s="1"/>
      <c r="D187" s="1">
        <v>6200000</v>
      </c>
      <c r="E187" s="1"/>
      <c r="F187" s="1"/>
      <c r="G187" s="1"/>
      <c r="H187" s="1"/>
      <c r="I187" s="1"/>
    </row>
    <row r="188" spans="1:9" x14ac:dyDescent="0.3">
      <c r="A188" t="s">
        <v>10</v>
      </c>
      <c r="B188" t="s">
        <v>246</v>
      </c>
      <c r="C188" s="1">
        <v>18</v>
      </c>
      <c r="D188" s="1">
        <v>7500000</v>
      </c>
      <c r="E188" s="1"/>
      <c r="F188" s="1">
        <v>1</v>
      </c>
      <c r="G188" s="1">
        <v>2</v>
      </c>
      <c r="H188" s="1"/>
      <c r="I188" s="1"/>
    </row>
    <row r="189" spans="1:9" x14ac:dyDescent="0.3">
      <c r="A189" t="s">
        <v>10</v>
      </c>
      <c r="B189" t="s">
        <v>247</v>
      </c>
      <c r="C189" s="1">
        <v>6</v>
      </c>
      <c r="D189" s="1">
        <v>10700000</v>
      </c>
      <c r="E189" s="1"/>
      <c r="F189" s="1"/>
      <c r="G189" s="1">
        <v>0</v>
      </c>
      <c r="H189" s="1">
        <v>6</v>
      </c>
      <c r="I189" s="1">
        <v>6</v>
      </c>
    </row>
    <row r="190" spans="1:9" x14ac:dyDescent="0.3">
      <c r="A190" t="s">
        <v>10</v>
      </c>
      <c r="B190" t="s">
        <v>248</v>
      </c>
      <c r="C190" s="1">
        <v>15</v>
      </c>
      <c r="D190" s="1">
        <v>10900000</v>
      </c>
      <c r="E190" s="1"/>
      <c r="F190" s="1">
        <v>1</v>
      </c>
      <c r="G190" s="1">
        <v>1</v>
      </c>
      <c r="H190" s="1">
        <v>7</v>
      </c>
      <c r="I190" s="1">
        <v>7</v>
      </c>
    </row>
    <row r="191" spans="1:9" x14ac:dyDescent="0.3">
      <c r="A191" t="s">
        <v>10</v>
      </c>
      <c r="B191" t="s">
        <v>188</v>
      </c>
      <c r="C191" s="1">
        <v>1</v>
      </c>
      <c r="D191" s="1">
        <v>8150000</v>
      </c>
      <c r="E191" s="1">
        <v>1</v>
      </c>
      <c r="F191" s="1">
        <v>1</v>
      </c>
      <c r="G191" s="1">
        <v>1</v>
      </c>
      <c r="H191" s="1"/>
      <c r="I191" s="1"/>
    </row>
    <row r="192" spans="1:9" x14ac:dyDescent="0.3">
      <c r="A192" t="s">
        <v>10</v>
      </c>
      <c r="B192" t="s">
        <v>249</v>
      </c>
      <c r="C192" s="1">
        <v>2</v>
      </c>
      <c r="D192" s="1">
        <v>8950000</v>
      </c>
      <c r="E192" s="1"/>
      <c r="F192" s="1"/>
      <c r="G192" s="1">
        <v>1</v>
      </c>
      <c r="H192" s="1"/>
      <c r="I192" s="1"/>
    </row>
    <row r="193" spans="1:9" x14ac:dyDescent="0.3">
      <c r="A193" t="s">
        <v>10</v>
      </c>
      <c r="B193" t="s">
        <v>250</v>
      </c>
      <c r="C193" s="1">
        <v>12</v>
      </c>
      <c r="D193" s="1">
        <v>2950000</v>
      </c>
      <c r="E193" s="1"/>
      <c r="F193" s="1">
        <v>1</v>
      </c>
      <c r="G193" s="1">
        <v>1</v>
      </c>
      <c r="H193" s="1"/>
      <c r="I193" s="1">
        <v>15</v>
      </c>
    </row>
    <row r="194" spans="1:9" x14ac:dyDescent="0.3">
      <c r="A194" t="s">
        <v>10</v>
      </c>
      <c r="B194" t="s">
        <v>251</v>
      </c>
      <c r="C194" s="1">
        <v>6</v>
      </c>
      <c r="D194" s="1">
        <v>13000000</v>
      </c>
      <c r="E194" s="1"/>
      <c r="F194" s="1"/>
      <c r="G194" s="1">
        <v>1</v>
      </c>
      <c r="H194" s="1"/>
      <c r="I194" s="1"/>
    </row>
    <row r="195" spans="1:9" x14ac:dyDescent="0.3">
      <c r="A195" t="s">
        <v>10</v>
      </c>
      <c r="B195" t="s">
        <v>252</v>
      </c>
      <c r="C195" s="1"/>
      <c r="D195" s="1">
        <v>14500000</v>
      </c>
      <c r="E195" s="1"/>
      <c r="F195" s="1">
        <v>1</v>
      </c>
      <c r="G195" s="1">
        <v>1</v>
      </c>
      <c r="H195" s="1"/>
      <c r="I195" s="1"/>
    </row>
    <row r="196" spans="1:9" x14ac:dyDescent="0.3">
      <c r="A196" t="s">
        <v>10</v>
      </c>
      <c r="B196" t="s">
        <v>253</v>
      </c>
      <c r="C196" s="1">
        <v>2</v>
      </c>
      <c r="D196" s="1">
        <v>14500000</v>
      </c>
      <c r="E196" s="1"/>
      <c r="F196" s="1"/>
      <c r="G196" s="1">
        <v>1</v>
      </c>
      <c r="H196" s="1"/>
      <c r="I196" s="1"/>
    </row>
    <row r="197" spans="1:9" x14ac:dyDescent="0.3">
      <c r="A197" t="s">
        <v>10</v>
      </c>
      <c r="B197" t="s">
        <v>254</v>
      </c>
      <c r="C197" s="1"/>
      <c r="D197" s="1">
        <v>14500000</v>
      </c>
      <c r="E197" s="1"/>
      <c r="F197" s="1">
        <v>1</v>
      </c>
      <c r="G197" s="1">
        <v>2</v>
      </c>
      <c r="H197" s="1"/>
      <c r="I197" s="1"/>
    </row>
    <row r="198" spans="1:9" x14ac:dyDescent="0.3">
      <c r="A198" t="s">
        <v>10</v>
      </c>
      <c r="B198" t="s">
        <v>114</v>
      </c>
      <c r="C198" s="1">
        <v>1</v>
      </c>
      <c r="D198" s="1">
        <v>11000000</v>
      </c>
      <c r="E198" s="1">
        <v>1</v>
      </c>
      <c r="F198" s="1">
        <v>1</v>
      </c>
      <c r="G198" s="1">
        <v>1</v>
      </c>
      <c r="H198" s="1"/>
      <c r="I198" s="1"/>
    </row>
    <row r="199" spans="1:9" x14ac:dyDescent="0.3">
      <c r="A199" t="s">
        <v>10</v>
      </c>
      <c r="B199" t="s">
        <v>114</v>
      </c>
      <c r="C199" s="1">
        <v>6</v>
      </c>
      <c r="D199" s="1">
        <v>12000000</v>
      </c>
      <c r="E199" s="1"/>
      <c r="F199" s="1"/>
      <c r="G199" s="1"/>
      <c r="H199" s="1"/>
      <c r="I199" s="1">
        <v>4</v>
      </c>
    </row>
    <row r="200" spans="1:9" x14ac:dyDescent="0.3">
      <c r="A200" t="s">
        <v>10</v>
      </c>
      <c r="B200" t="s">
        <v>255</v>
      </c>
      <c r="C200" s="1">
        <v>8</v>
      </c>
      <c r="D200" s="1">
        <v>17500000</v>
      </c>
      <c r="E200" s="1"/>
      <c r="F200" s="1">
        <v>1</v>
      </c>
      <c r="G200" s="1">
        <v>2</v>
      </c>
      <c r="H200" s="1"/>
      <c r="I200" s="1"/>
    </row>
    <row r="201" spans="1:9" x14ac:dyDescent="0.3">
      <c r="A201" t="s">
        <v>10</v>
      </c>
      <c r="B201" t="s">
        <v>147</v>
      </c>
      <c r="C201" s="1">
        <v>10</v>
      </c>
      <c r="D201" s="1">
        <v>13100000</v>
      </c>
      <c r="E201" s="1"/>
      <c r="F201" s="1">
        <v>2</v>
      </c>
      <c r="G201" s="1">
        <v>1</v>
      </c>
      <c r="H201" s="1"/>
      <c r="I201" s="1">
        <v>6</v>
      </c>
    </row>
    <row r="202" spans="1:9" x14ac:dyDescent="0.3">
      <c r="A202" t="s">
        <v>10</v>
      </c>
      <c r="B202" t="s">
        <v>256</v>
      </c>
      <c r="C202" s="1">
        <v>9</v>
      </c>
      <c r="D202" s="1">
        <v>14000000</v>
      </c>
      <c r="E202" s="1"/>
      <c r="F202" s="1">
        <v>1</v>
      </c>
      <c r="G202" s="1">
        <v>2</v>
      </c>
      <c r="H202" s="1"/>
      <c r="I202" s="1"/>
    </row>
    <row r="203" spans="1:9" x14ac:dyDescent="0.3">
      <c r="A203" t="s">
        <v>10</v>
      </c>
      <c r="B203" t="s">
        <v>257</v>
      </c>
      <c r="C203" s="1">
        <v>1</v>
      </c>
      <c r="D203" s="1">
        <v>22000000</v>
      </c>
      <c r="E203" s="1"/>
      <c r="F203" s="1"/>
      <c r="G203" s="1">
        <v>1</v>
      </c>
      <c r="H203" s="1"/>
      <c r="I203" s="1"/>
    </row>
    <row r="204" spans="1:9" x14ac:dyDescent="0.3">
      <c r="A204" t="s">
        <v>10</v>
      </c>
      <c r="B204" t="s">
        <v>258</v>
      </c>
      <c r="C204" s="1">
        <v>1</v>
      </c>
      <c r="D204" s="1">
        <v>17500000</v>
      </c>
      <c r="E204" s="1"/>
      <c r="F204" s="1"/>
      <c r="G204" s="1"/>
      <c r="H204" s="1"/>
      <c r="I204" s="1"/>
    </row>
    <row r="205" spans="1:9" x14ac:dyDescent="0.3">
      <c r="A205" t="s">
        <v>10</v>
      </c>
      <c r="B205" t="s">
        <v>259</v>
      </c>
      <c r="C205" s="1">
        <v>1</v>
      </c>
      <c r="D205" s="1">
        <v>23500000</v>
      </c>
      <c r="E205" s="1"/>
      <c r="F205" s="1"/>
      <c r="G205" s="1">
        <v>1</v>
      </c>
      <c r="H205" s="1"/>
      <c r="I205" s="1"/>
    </row>
    <row r="206" spans="1:9" x14ac:dyDescent="0.3">
      <c r="A206" t="s">
        <v>10</v>
      </c>
      <c r="B206" t="s">
        <v>260</v>
      </c>
      <c r="C206" s="1">
        <v>23</v>
      </c>
      <c r="D206" s="1">
        <v>16600000</v>
      </c>
      <c r="E206" s="1"/>
      <c r="F206" s="1">
        <v>0</v>
      </c>
      <c r="G206" s="1">
        <v>0</v>
      </c>
      <c r="H206" s="1"/>
      <c r="I206" s="1"/>
    </row>
    <row r="207" spans="1:9" x14ac:dyDescent="0.3">
      <c r="A207" t="s">
        <v>10</v>
      </c>
      <c r="B207" t="s">
        <v>261</v>
      </c>
      <c r="C207" s="1">
        <v>12</v>
      </c>
      <c r="D207" s="1">
        <v>23500000</v>
      </c>
      <c r="E207" s="1"/>
      <c r="F207" s="1"/>
      <c r="G207" s="1"/>
      <c r="H207" s="1"/>
      <c r="I207" s="1"/>
    </row>
    <row r="208" spans="1:9" x14ac:dyDescent="0.3">
      <c r="A208" t="s">
        <v>10</v>
      </c>
      <c r="B208" t="s">
        <v>118</v>
      </c>
      <c r="C208" s="1">
        <v>3</v>
      </c>
      <c r="D208" s="1">
        <v>26500000</v>
      </c>
      <c r="E208" s="1"/>
      <c r="F208" s="1"/>
      <c r="G208" s="1">
        <v>1</v>
      </c>
      <c r="H208" s="1"/>
      <c r="I208" s="1"/>
    </row>
    <row r="209" spans="1:9" x14ac:dyDescent="0.3">
      <c r="A209" t="s">
        <v>10</v>
      </c>
      <c r="B209" t="s">
        <v>262</v>
      </c>
      <c r="C209" s="1">
        <v>1</v>
      </c>
      <c r="D209" s="1">
        <v>30500000</v>
      </c>
      <c r="E209" s="1"/>
      <c r="F209" s="1">
        <v>1</v>
      </c>
      <c r="G209" s="1">
        <v>1</v>
      </c>
      <c r="H209" s="1"/>
      <c r="I209" s="1"/>
    </row>
    <row r="210" spans="1:9" x14ac:dyDescent="0.3">
      <c r="A210" t="s">
        <v>215</v>
      </c>
      <c r="B210" t="s">
        <v>263</v>
      </c>
      <c r="C210" s="1">
        <v>2</v>
      </c>
      <c r="D210" s="1">
        <v>1550000</v>
      </c>
      <c r="E210" s="1"/>
      <c r="F210" s="1"/>
      <c r="G210" s="1"/>
      <c r="H210" s="1"/>
      <c r="I210" s="1"/>
    </row>
    <row r="211" spans="1:9" x14ac:dyDescent="0.3">
      <c r="A211" t="s">
        <v>264</v>
      </c>
      <c r="B211" t="s">
        <v>265</v>
      </c>
      <c r="C211" s="1">
        <v>33</v>
      </c>
      <c r="D211" s="1">
        <v>17000000</v>
      </c>
      <c r="E211" s="1"/>
      <c r="F211" s="1">
        <v>-1</v>
      </c>
      <c r="G211" s="1">
        <v>1</v>
      </c>
      <c r="H211" s="1"/>
      <c r="I211" s="1"/>
    </row>
    <row r="212" spans="1:9" x14ac:dyDescent="0.3">
      <c r="A212" t="s">
        <v>125</v>
      </c>
      <c r="B212" t="s">
        <v>266</v>
      </c>
      <c r="C212" s="1"/>
      <c r="D212" s="1">
        <v>650000</v>
      </c>
      <c r="E212" s="1"/>
      <c r="F212" s="1"/>
      <c r="G212" s="1">
        <v>2</v>
      </c>
      <c r="H212" s="1"/>
      <c r="I212" s="1"/>
    </row>
    <row r="213" spans="1:9" x14ac:dyDescent="0.3">
      <c r="A213" t="s">
        <v>125</v>
      </c>
      <c r="B213" t="s">
        <v>267</v>
      </c>
      <c r="C213" s="1"/>
      <c r="D213" s="1">
        <v>1800000</v>
      </c>
      <c r="E213" s="1"/>
      <c r="F213" s="1"/>
      <c r="G213" s="1"/>
      <c r="H213" s="1"/>
      <c r="I213" s="1"/>
    </row>
    <row r="214" spans="1:9" x14ac:dyDescent="0.3">
      <c r="A214" t="s">
        <v>125</v>
      </c>
      <c r="B214" t="s">
        <v>268</v>
      </c>
      <c r="C214" s="1">
        <v>2</v>
      </c>
      <c r="D214" s="1">
        <v>1500000</v>
      </c>
      <c r="E214" s="1"/>
      <c r="F214" s="1">
        <v>1</v>
      </c>
      <c r="G214" s="1">
        <v>2</v>
      </c>
      <c r="H214" s="1"/>
      <c r="I214" s="1"/>
    </row>
    <row r="215" spans="1:9" x14ac:dyDescent="0.3">
      <c r="A215" t="s">
        <v>125</v>
      </c>
      <c r="B215" t="s">
        <v>269</v>
      </c>
      <c r="C215" s="1">
        <v>1</v>
      </c>
      <c r="D215" s="1">
        <v>3390000</v>
      </c>
      <c r="E215" s="1"/>
      <c r="F215" s="1"/>
      <c r="G215" s="1">
        <v>1</v>
      </c>
      <c r="H215" s="1"/>
      <c r="I215" s="1"/>
    </row>
    <row r="216" spans="1:9" x14ac:dyDescent="0.3">
      <c r="A216" t="s">
        <v>125</v>
      </c>
      <c r="B216" t="s">
        <v>270</v>
      </c>
      <c r="C216" s="1"/>
      <c r="D216" s="1">
        <v>2300000</v>
      </c>
      <c r="E216" s="1"/>
      <c r="F216" s="1"/>
      <c r="G216" s="1">
        <v>1</v>
      </c>
      <c r="H216" s="1"/>
      <c r="I216" s="1"/>
    </row>
    <row r="217" spans="1:9" x14ac:dyDescent="0.3">
      <c r="A217" t="s">
        <v>125</v>
      </c>
      <c r="B217" t="s">
        <v>31</v>
      </c>
      <c r="C217" s="1">
        <v>4</v>
      </c>
      <c r="D217" s="1">
        <v>1190000</v>
      </c>
      <c r="E217" s="1"/>
      <c r="F217" s="1">
        <v>2</v>
      </c>
      <c r="G217" s="1">
        <v>2</v>
      </c>
      <c r="H217" s="1"/>
      <c r="I217" s="1"/>
    </row>
    <row r="218" spans="1:9" x14ac:dyDescent="0.3">
      <c r="A218" t="s">
        <v>121</v>
      </c>
      <c r="B218" t="s">
        <v>87</v>
      </c>
      <c r="C218" s="1"/>
      <c r="D218" s="1">
        <v>10090000</v>
      </c>
      <c r="E218" s="1"/>
      <c r="F218" s="1"/>
      <c r="G218" s="1">
        <v>1</v>
      </c>
      <c r="H218" s="1"/>
      <c r="I218" s="1"/>
    </row>
    <row r="219" spans="1:9" x14ac:dyDescent="0.3">
      <c r="A219" t="s">
        <v>175</v>
      </c>
      <c r="B219" t="s">
        <v>271</v>
      </c>
      <c r="C219" s="1">
        <v>2</v>
      </c>
      <c r="D219" s="1">
        <v>3290000</v>
      </c>
      <c r="E219" s="1"/>
      <c r="F219" s="1">
        <v>1</v>
      </c>
      <c r="G219" s="1">
        <v>2</v>
      </c>
      <c r="H219" s="1"/>
      <c r="I219" s="1"/>
    </row>
    <row r="220" spans="1:9" x14ac:dyDescent="0.3">
      <c r="A220" t="s">
        <v>175</v>
      </c>
      <c r="B220" t="s">
        <v>47</v>
      </c>
      <c r="C220" s="1">
        <v>8</v>
      </c>
      <c r="D220" s="1">
        <v>4990000</v>
      </c>
      <c r="E220" s="1"/>
      <c r="F220" s="1"/>
      <c r="G220" s="1"/>
      <c r="H220" s="1"/>
      <c r="I220" s="1"/>
    </row>
    <row r="221" spans="1:9" x14ac:dyDescent="0.3">
      <c r="A221" t="s">
        <v>175</v>
      </c>
      <c r="B221" t="s">
        <v>272</v>
      </c>
      <c r="C221" s="1"/>
      <c r="D221" s="1">
        <v>6490000</v>
      </c>
      <c r="E221" s="1"/>
      <c r="F221" s="1"/>
      <c r="G221" s="1"/>
      <c r="H221" s="1"/>
      <c r="I221" s="1"/>
    </row>
    <row r="222" spans="1:9" x14ac:dyDescent="0.3">
      <c r="A222" t="s">
        <v>175</v>
      </c>
      <c r="B222" t="s">
        <v>180</v>
      </c>
      <c r="C222" s="1"/>
      <c r="D222" s="1">
        <v>1690000</v>
      </c>
      <c r="E222" s="1"/>
      <c r="F222" s="1">
        <v>1</v>
      </c>
      <c r="G222" s="1">
        <v>1</v>
      </c>
      <c r="H222" s="1"/>
      <c r="I222" s="1"/>
    </row>
    <row r="223" spans="1:9" x14ac:dyDescent="0.3">
      <c r="A223" t="s">
        <v>96</v>
      </c>
      <c r="B223" t="s">
        <v>273</v>
      </c>
      <c r="C223" s="1"/>
      <c r="D223" s="1">
        <v>1200000</v>
      </c>
      <c r="E223" s="1"/>
      <c r="F223" s="1"/>
      <c r="G223" s="1"/>
      <c r="H223" s="1"/>
      <c r="I223" s="1"/>
    </row>
    <row r="224" spans="1:9" x14ac:dyDescent="0.3">
      <c r="A224" t="s">
        <v>96</v>
      </c>
      <c r="B224" t="s">
        <v>274</v>
      </c>
      <c r="C224" s="1"/>
      <c r="D224" s="1">
        <v>900000</v>
      </c>
      <c r="E224" s="1"/>
      <c r="F224" s="1"/>
      <c r="G224" s="1"/>
      <c r="H224" s="1"/>
      <c r="I224" s="1"/>
    </row>
    <row r="225" spans="1:9" x14ac:dyDescent="0.3">
      <c r="A225" t="s">
        <v>96</v>
      </c>
      <c r="B225" t="s">
        <v>275</v>
      </c>
      <c r="C225" s="1"/>
      <c r="D225" s="1">
        <v>3000000</v>
      </c>
      <c r="E225" s="1"/>
      <c r="F225" s="1"/>
      <c r="G225" s="1"/>
      <c r="H225" s="1"/>
      <c r="I225" s="1"/>
    </row>
    <row r="226" spans="1:9" x14ac:dyDescent="0.3">
      <c r="A226" t="s">
        <v>96</v>
      </c>
      <c r="B226" t="s">
        <v>276</v>
      </c>
      <c r="C226" s="1">
        <v>2</v>
      </c>
      <c r="D226" s="1">
        <v>4990000</v>
      </c>
      <c r="E226" s="1"/>
      <c r="F226" s="1">
        <v>1</v>
      </c>
      <c r="G226" s="1">
        <v>2</v>
      </c>
      <c r="H226" s="1"/>
      <c r="I226" s="1"/>
    </row>
    <row r="227" spans="1:9" x14ac:dyDescent="0.3">
      <c r="A227" t="s">
        <v>96</v>
      </c>
      <c r="B227" t="s">
        <v>277</v>
      </c>
      <c r="C227" s="1"/>
      <c r="D227" s="1">
        <v>2800000</v>
      </c>
      <c r="E227" s="1"/>
      <c r="F227" s="1">
        <v>1</v>
      </c>
      <c r="G227" s="1">
        <v>2</v>
      </c>
      <c r="H227" s="1"/>
      <c r="I227" s="1"/>
    </row>
    <row r="228" spans="1:9" x14ac:dyDescent="0.3">
      <c r="A228" t="s">
        <v>96</v>
      </c>
      <c r="B228" t="s">
        <v>278</v>
      </c>
      <c r="C228" s="1">
        <v>2</v>
      </c>
      <c r="D228" s="1">
        <v>3800000</v>
      </c>
      <c r="E228" s="1"/>
      <c r="F228" s="1"/>
      <c r="G228" s="1">
        <v>2</v>
      </c>
      <c r="H228" s="1"/>
      <c r="I228" s="1"/>
    </row>
    <row r="229" spans="1:9" x14ac:dyDescent="0.3">
      <c r="A229" t="s">
        <v>96</v>
      </c>
      <c r="B229" t="s">
        <v>279</v>
      </c>
      <c r="C229" s="1"/>
      <c r="D229" s="1">
        <v>7400000</v>
      </c>
      <c r="E229" s="1"/>
      <c r="F229" s="1"/>
      <c r="G229" s="1"/>
      <c r="H229" s="1"/>
      <c r="I229" s="1"/>
    </row>
    <row r="230" spans="1:9" x14ac:dyDescent="0.3">
      <c r="A230" t="s">
        <v>96</v>
      </c>
      <c r="B230" t="s">
        <v>193</v>
      </c>
      <c r="C230" s="1">
        <v>2</v>
      </c>
      <c r="D230" s="1">
        <v>14200000</v>
      </c>
      <c r="E230" s="1"/>
      <c r="F230" s="1"/>
      <c r="G230" s="1"/>
      <c r="H230" s="1"/>
      <c r="I230" s="1"/>
    </row>
    <row r="231" spans="1:9" x14ac:dyDescent="0.3">
      <c r="A231" t="s">
        <v>96</v>
      </c>
      <c r="B231" t="s">
        <v>280</v>
      </c>
      <c r="C231" s="1">
        <v>1</v>
      </c>
      <c r="D231" s="1">
        <v>10000000</v>
      </c>
      <c r="E231" s="1"/>
      <c r="F231" s="1"/>
      <c r="G231" s="1"/>
      <c r="H231" s="1">
        <v>1</v>
      </c>
      <c r="I231" s="1">
        <v>1</v>
      </c>
    </row>
    <row r="232" spans="1:9" x14ac:dyDescent="0.3">
      <c r="A232" t="s">
        <v>96</v>
      </c>
      <c r="B232" t="s">
        <v>219</v>
      </c>
      <c r="C232" s="1"/>
      <c r="D232" s="1">
        <v>10300000</v>
      </c>
      <c r="E232" s="1"/>
      <c r="F232" s="1"/>
      <c r="G232" s="1"/>
      <c r="H232" s="1"/>
      <c r="I232" s="1"/>
    </row>
    <row r="233" spans="1:9" x14ac:dyDescent="0.3">
      <c r="A233" t="s">
        <v>96</v>
      </c>
      <c r="B233" t="s">
        <v>90</v>
      </c>
      <c r="C233" s="1"/>
      <c r="D233" s="1">
        <v>14090000</v>
      </c>
      <c r="E233" s="1"/>
      <c r="F233" s="1">
        <v>1</v>
      </c>
      <c r="G233" s="1">
        <v>2</v>
      </c>
      <c r="H233" s="1"/>
      <c r="I233" s="1"/>
    </row>
    <row r="234" spans="1:9" x14ac:dyDescent="0.3">
      <c r="A234" t="s">
        <v>96</v>
      </c>
      <c r="B234" t="s">
        <v>200</v>
      </c>
      <c r="C234" s="1">
        <v>2</v>
      </c>
      <c r="D234" s="1">
        <v>25590000</v>
      </c>
      <c r="E234" s="1"/>
      <c r="F234" s="1">
        <v>1</v>
      </c>
      <c r="G234" s="1">
        <v>2</v>
      </c>
      <c r="H234" s="1"/>
      <c r="I234" s="1"/>
    </row>
    <row r="235" spans="1:9" x14ac:dyDescent="0.3">
      <c r="A235" t="s">
        <v>98</v>
      </c>
      <c r="B235" t="s">
        <v>281</v>
      </c>
      <c r="C235" s="1"/>
      <c r="D235" s="1">
        <v>2300000</v>
      </c>
      <c r="E235" s="1"/>
      <c r="F235" s="1">
        <v>1</v>
      </c>
      <c r="G235" s="1">
        <v>2</v>
      </c>
      <c r="H235" s="1"/>
      <c r="I235" s="1"/>
    </row>
    <row r="236" spans="1:9" x14ac:dyDescent="0.3">
      <c r="A236" t="s">
        <v>98</v>
      </c>
      <c r="B236" t="s">
        <v>62</v>
      </c>
      <c r="C236" s="1">
        <v>6</v>
      </c>
      <c r="D236" s="1">
        <v>850000</v>
      </c>
      <c r="E236" s="1"/>
      <c r="F236" s="1"/>
      <c r="G236" s="1"/>
      <c r="H236" s="1"/>
      <c r="I236" s="1"/>
    </row>
    <row r="237" spans="1:9" x14ac:dyDescent="0.3">
      <c r="A237" t="s">
        <v>98</v>
      </c>
      <c r="B237" t="s">
        <v>263</v>
      </c>
      <c r="C237" s="1"/>
      <c r="D237" s="1">
        <v>1550000</v>
      </c>
      <c r="E237" s="1"/>
      <c r="F237" s="1"/>
      <c r="G237" s="1">
        <v>1</v>
      </c>
      <c r="H237" s="1"/>
      <c r="I237" s="1"/>
    </row>
    <row r="238" spans="1:9" x14ac:dyDescent="0.3">
      <c r="A238" t="s">
        <v>98</v>
      </c>
      <c r="B238" t="s">
        <v>282</v>
      </c>
      <c r="C238" s="1"/>
      <c r="D238" s="1">
        <v>3190000</v>
      </c>
      <c r="E238" s="1"/>
      <c r="F238" s="1"/>
      <c r="G238" s="1">
        <v>1</v>
      </c>
      <c r="H238" s="1"/>
      <c r="I238" s="1"/>
    </row>
    <row r="239" spans="1:9" x14ac:dyDescent="0.3">
      <c r="A239" t="s">
        <v>98</v>
      </c>
      <c r="B239" t="s">
        <v>283</v>
      </c>
      <c r="C239" s="1"/>
      <c r="D239" s="1">
        <v>2600000</v>
      </c>
      <c r="E239" s="1"/>
      <c r="F239" s="1">
        <v>1</v>
      </c>
      <c r="G239" s="1">
        <v>1</v>
      </c>
      <c r="H239" s="1"/>
      <c r="I239" s="1"/>
    </row>
    <row r="240" spans="1:9" x14ac:dyDescent="0.3">
      <c r="A240" t="s">
        <v>142</v>
      </c>
      <c r="B240" t="s">
        <v>284</v>
      </c>
      <c r="C240" s="1"/>
      <c r="D240" s="1">
        <v>1800000</v>
      </c>
      <c r="E240" s="1"/>
      <c r="F240" s="1"/>
      <c r="G240" s="1">
        <v>1</v>
      </c>
      <c r="H240" s="1"/>
      <c r="I240" s="1"/>
    </row>
    <row r="241" spans="1:9" x14ac:dyDescent="0.3">
      <c r="A241" t="s">
        <v>142</v>
      </c>
      <c r="B241" t="s">
        <v>91</v>
      </c>
      <c r="C241" s="1">
        <v>5</v>
      </c>
      <c r="D241" s="1">
        <v>7090000</v>
      </c>
      <c r="E241" s="1"/>
      <c r="F241" s="1">
        <v>1</v>
      </c>
      <c r="G241" s="1">
        <v>2</v>
      </c>
      <c r="H241" s="1"/>
      <c r="I241" s="1"/>
    </row>
    <row r="242" spans="1:9" x14ac:dyDescent="0.3">
      <c r="A242" t="s">
        <v>142</v>
      </c>
      <c r="B242" t="s">
        <v>181</v>
      </c>
      <c r="C242" s="1">
        <v>2</v>
      </c>
      <c r="D242" s="1">
        <v>11490000</v>
      </c>
      <c r="E242" s="1"/>
      <c r="F242" s="1"/>
      <c r="G242" s="1">
        <v>2</v>
      </c>
      <c r="H242" s="1"/>
      <c r="I242" s="1"/>
    </row>
    <row r="243" spans="1:9" x14ac:dyDescent="0.3">
      <c r="A243" t="s">
        <v>142</v>
      </c>
      <c r="B243" t="s">
        <v>40</v>
      </c>
      <c r="C243" s="1">
        <v>1</v>
      </c>
      <c r="D243" s="1">
        <v>3190000</v>
      </c>
      <c r="E243" s="1">
        <v>1</v>
      </c>
      <c r="F243" s="1">
        <v>2</v>
      </c>
      <c r="G243" s="1">
        <v>2</v>
      </c>
      <c r="H243" s="1"/>
      <c r="I243" s="1"/>
    </row>
    <row r="244" spans="1:9" x14ac:dyDescent="0.3">
      <c r="A244" t="s">
        <v>156</v>
      </c>
      <c r="B244" t="s">
        <v>285</v>
      </c>
      <c r="C244" s="1"/>
      <c r="D244" s="1">
        <v>4400000</v>
      </c>
      <c r="E244" s="1"/>
      <c r="F244" s="1"/>
      <c r="G244" s="1"/>
      <c r="H244" s="1"/>
      <c r="I244" s="1"/>
    </row>
    <row r="245" spans="1:9" x14ac:dyDescent="0.3">
      <c r="A245" t="s">
        <v>156</v>
      </c>
      <c r="B245" t="s">
        <v>286</v>
      </c>
      <c r="C245" s="1"/>
      <c r="D245" s="1">
        <v>4000000</v>
      </c>
      <c r="E245" s="1"/>
      <c r="F245" s="1"/>
      <c r="G245" s="1">
        <v>1</v>
      </c>
      <c r="H245" s="1"/>
      <c r="I245" s="1"/>
    </row>
    <row r="246" spans="1:9" x14ac:dyDescent="0.3">
      <c r="A246" t="s">
        <v>156</v>
      </c>
      <c r="B246" t="s">
        <v>286</v>
      </c>
      <c r="C246" s="1"/>
      <c r="D246" s="1">
        <v>3600000</v>
      </c>
      <c r="E246" s="1"/>
      <c r="F246" s="1">
        <v>1</v>
      </c>
      <c r="G246" s="1">
        <v>1</v>
      </c>
      <c r="H246" s="1"/>
      <c r="I246" s="1"/>
    </row>
    <row r="247" spans="1:9" x14ac:dyDescent="0.3">
      <c r="A247" t="s">
        <v>156</v>
      </c>
      <c r="B247" t="s">
        <v>286</v>
      </c>
      <c r="C247" s="1"/>
      <c r="D247" s="1">
        <v>3200000</v>
      </c>
      <c r="E247" s="1"/>
      <c r="F247" s="1"/>
      <c r="G247" s="1"/>
      <c r="H247" s="1"/>
      <c r="I247" s="1"/>
    </row>
    <row r="248" spans="1:9" x14ac:dyDescent="0.3">
      <c r="A248" t="s">
        <v>156</v>
      </c>
      <c r="B248" t="s">
        <v>287</v>
      </c>
      <c r="C248" s="1"/>
      <c r="D248" s="1">
        <v>4400000</v>
      </c>
      <c r="E248" s="1"/>
      <c r="F248" s="1"/>
      <c r="G248" s="1"/>
      <c r="H248" s="1"/>
      <c r="I248" s="1"/>
    </row>
    <row r="249" spans="1:9" x14ac:dyDescent="0.3">
      <c r="A249" t="s">
        <v>156</v>
      </c>
      <c r="B249" t="s">
        <v>288</v>
      </c>
      <c r="C249" s="1"/>
      <c r="D249" s="1">
        <v>5400000</v>
      </c>
      <c r="E249" s="1"/>
      <c r="F249" s="1"/>
      <c r="G249" s="1"/>
      <c r="H249" s="1"/>
      <c r="I249" s="1"/>
    </row>
    <row r="250" spans="1:9" x14ac:dyDescent="0.3">
      <c r="A250" t="s">
        <v>156</v>
      </c>
      <c r="B250" t="s">
        <v>289</v>
      </c>
      <c r="C250" s="1"/>
      <c r="D250" s="1">
        <v>4800000</v>
      </c>
      <c r="E250" s="1"/>
      <c r="F250" s="1"/>
      <c r="G250" s="1"/>
      <c r="H250" s="1"/>
      <c r="I250" s="1"/>
    </row>
    <row r="251" spans="1:9" x14ac:dyDescent="0.3">
      <c r="A251" t="s">
        <v>156</v>
      </c>
      <c r="B251" t="s">
        <v>29</v>
      </c>
      <c r="C251" s="1">
        <v>2</v>
      </c>
      <c r="D251" s="1">
        <v>5200000</v>
      </c>
      <c r="E251" s="1">
        <v>1</v>
      </c>
      <c r="F251" s="1">
        <v>2</v>
      </c>
      <c r="G251" s="1">
        <v>2</v>
      </c>
      <c r="H251" s="1"/>
      <c r="I251" s="1"/>
    </row>
    <row r="252" spans="1:9" x14ac:dyDescent="0.3">
      <c r="A252" t="s">
        <v>156</v>
      </c>
      <c r="B252" t="s">
        <v>290</v>
      </c>
      <c r="C252" s="1"/>
      <c r="D252" s="1">
        <v>4200000</v>
      </c>
      <c r="E252" s="1"/>
      <c r="F252" s="1"/>
      <c r="G252" s="1"/>
      <c r="H252" s="1"/>
      <c r="I252" s="1"/>
    </row>
    <row r="253" spans="1:9" x14ac:dyDescent="0.3">
      <c r="A253" t="s">
        <v>156</v>
      </c>
      <c r="B253" t="s">
        <v>291</v>
      </c>
      <c r="C253" s="1"/>
      <c r="D253" s="1">
        <v>7000000</v>
      </c>
      <c r="E253" s="1"/>
      <c r="F253" s="1"/>
      <c r="G253" s="1">
        <v>1</v>
      </c>
      <c r="H253" s="1"/>
      <c r="I253" s="1"/>
    </row>
    <row r="254" spans="1:9" x14ac:dyDescent="0.3">
      <c r="A254" t="s">
        <v>156</v>
      </c>
      <c r="B254" t="s">
        <v>291</v>
      </c>
      <c r="C254" s="1">
        <v>1</v>
      </c>
      <c r="D254" s="1">
        <v>6000000</v>
      </c>
      <c r="E254" s="1"/>
      <c r="F254" s="1"/>
      <c r="G254" s="1"/>
      <c r="H254" s="1"/>
      <c r="I254" s="1"/>
    </row>
    <row r="255" spans="1:9" x14ac:dyDescent="0.3">
      <c r="A255" t="s">
        <v>156</v>
      </c>
      <c r="B255" t="s">
        <v>291</v>
      </c>
      <c r="C255" s="1">
        <v>1</v>
      </c>
      <c r="D255" s="1">
        <v>6500000</v>
      </c>
      <c r="E255" s="1"/>
      <c r="F255" s="1"/>
      <c r="G255" s="1">
        <v>1</v>
      </c>
      <c r="H255" s="1"/>
      <c r="I255" s="1"/>
    </row>
    <row r="256" spans="1:9" x14ac:dyDescent="0.3">
      <c r="A256" t="s">
        <v>156</v>
      </c>
      <c r="B256" t="s">
        <v>292</v>
      </c>
      <c r="C256" s="1"/>
      <c r="D256" s="1">
        <v>6200000</v>
      </c>
      <c r="E256" s="1"/>
      <c r="F256" s="1">
        <v>1</v>
      </c>
      <c r="G256" s="1">
        <v>1</v>
      </c>
      <c r="H256" s="1"/>
      <c r="I256" s="1"/>
    </row>
    <row r="257" spans="1:9" x14ac:dyDescent="0.3">
      <c r="A257" t="s">
        <v>156</v>
      </c>
      <c r="B257" t="s">
        <v>293</v>
      </c>
      <c r="C257" s="1">
        <v>2</v>
      </c>
      <c r="D257" s="1">
        <v>11300000</v>
      </c>
      <c r="E257" s="1"/>
      <c r="F257" s="1"/>
      <c r="G257" s="1"/>
      <c r="H257" s="1"/>
      <c r="I257" s="1"/>
    </row>
    <row r="258" spans="1:9" x14ac:dyDescent="0.3">
      <c r="A258" t="s">
        <v>156</v>
      </c>
      <c r="B258" t="s">
        <v>294</v>
      </c>
      <c r="C258" s="1"/>
      <c r="D258" s="1">
        <v>15000000</v>
      </c>
      <c r="E258" s="1"/>
      <c r="F258" s="1"/>
      <c r="G258" s="1">
        <v>1</v>
      </c>
      <c r="H258" s="1"/>
      <c r="I258" s="1"/>
    </row>
    <row r="259" spans="1:9" x14ac:dyDescent="0.3">
      <c r="A259" t="s">
        <v>156</v>
      </c>
      <c r="B259" t="s">
        <v>41</v>
      </c>
      <c r="C259" s="1">
        <v>1</v>
      </c>
      <c r="D259" s="1">
        <v>8000000</v>
      </c>
      <c r="E259" s="1"/>
      <c r="F259" s="1"/>
      <c r="G259" s="1">
        <v>1</v>
      </c>
      <c r="H259" s="1"/>
      <c r="I259" s="1"/>
    </row>
    <row r="260" spans="1:9" x14ac:dyDescent="0.3">
      <c r="A260" t="s">
        <v>156</v>
      </c>
      <c r="B260" t="s">
        <v>295</v>
      </c>
      <c r="C260" s="1">
        <v>5</v>
      </c>
      <c r="D260" s="1">
        <v>8500000</v>
      </c>
      <c r="E260" s="1"/>
      <c r="F260" s="1"/>
      <c r="G260" s="1"/>
      <c r="H260" s="1"/>
      <c r="I260" s="1"/>
    </row>
    <row r="261" spans="1:9" x14ac:dyDescent="0.3">
      <c r="A261" t="s">
        <v>156</v>
      </c>
      <c r="B261" t="s">
        <v>224</v>
      </c>
      <c r="C261" s="1"/>
      <c r="D261" s="1">
        <v>16000000</v>
      </c>
      <c r="E261" s="1"/>
      <c r="F261" s="1"/>
      <c r="G261" s="1">
        <v>1</v>
      </c>
      <c r="H261" s="1"/>
      <c r="I261" s="1"/>
    </row>
    <row r="262" spans="1:9" x14ac:dyDescent="0.3">
      <c r="A262" t="s">
        <v>156</v>
      </c>
      <c r="B262" t="s">
        <v>50</v>
      </c>
      <c r="C262" s="1">
        <v>1</v>
      </c>
      <c r="D262" s="1">
        <v>8600000</v>
      </c>
      <c r="E262" s="1"/>
      <c r="F262" s="1">
        <v>1</v>
      </c>
      <c r="G262" s="1">
        <v>1</v>
      </c>
      <c r="H262" s="1"/>
      <c r="I262" s="1"/>
    </row>
    <row r="263" spans="1:9" x14ac:dyDescent="0.3">
      <c r="A263" t="s">
        <v>156</v>
      </c>
      <c r="B263" t="s">
        <v>296</v>
      </c>
      <c r="C263" s="1">
        <v>1</v>
      </c>
      <c r="D263" s="1">
        <v>11300000</v>
      </c>
      <c r="E263" s="1"/>
      <c r="F263" s="1"/>
      <c r="G263" s="1">
        <v>1</v>
      </c>
      <c r="H263" s="1"/>
      <c r="I263" s="1"/>
    </row>
    <row r="264" spans="1:9" x14ac:dyDescent="0.3">
      <c r="A264" t="s">
        <v>201</v>
      </c>
      <c r="B264" t="s">
        <v>297</v>
      </c>
      <c r="C264" s="1"/>
      <c r="D264" s="1">
        <v>3200000</v>
      </c>
      <c r="E264" s="1"/>
      <c r="F264" s="1"/>
      <c r="G264" s="1"/>
      <c r="H264" s="1"/>
      <c r="I264" s="1"/>
    </row>
    <row r="265" spans="1:9" x14ac:dyDescent="0.3">
      <c r="A265" t="s">
        <v>143</v>
      </c>
      <c r="B265" t="s">
        <v>92</v>
      </c>
      <c r="C265" s="1"/>
      <c r="D265" s="1">
        <v>4600000</v>
      </c>
      <c r="E265" s="1"/>
      <c r="F265" s="1"/>
      <c r="G265" s="1">
        <v>1</v>
      </c>
      <c r="H265" s="1"/>
      <c r="I265" s="1"/>
    </row>
    <row r="266" spans="1:9" x14ac:dyDescent="0.3">
      <c r="A266" t="s">
        <v>143</v>
      </c>
      <c r="B266" t="s">
        <v>298</v>
      </c>
      <c r="C266" s="1"/>
      <c r="D266" s="1">
        <v>4000000</v>
      </c>
      <c r="E266" s="1"/>
      <c r="F266" s="1"/>
      <c r="G266" s="1">
        <v>1</v>
      </c>
      <c r="H266" s="1"/>
      <c r="I266" s="1"/>
    </row>
    <row r="267" spans="1:9" x14ac:dyDescent="0.3">
      <c r="A267" t="s">
        <v>143</v>
      </c>
      <c r="B267" t="s">
        <v>110</v>
      </c>
      <c r="C267" s="1">
        <v>11</v>
      </c>
      <c r="D267" s="1">
        <v>2490000</v>
      </c>
      <c r="E267" s="1">
        <v>1</v>
      </c>
      <c r="F267" s="1">
        <v>1</v>
      </c>
      <c r="G267" s="1">
        <v>1</v>
      </c>
      <c r="H267" s="1"/>
      <c r="I267" s="1"/>
    </row>
    <row r="268" spans="1:9" x14ac:dyDescent="0.3">
      <c r="A268" t="s">
        <v>93</v>
      </c>
      <c r="B268" t="s">
        <v>78</v>
      </c>
      <c r="C268" s="1">
        <v>1</v>
      </c>
      <c r="D268" s="1">
        <v>12500000</v>
      </c>
      <c r="E268" s="1"/>
      <c r="F268" s="1"/>
      <c r="G268" s="1">
        <v>1</v>
      </c>
      <c r="H268" s="1"/>
      <c r="I268" s="1"/>
    </row>
    <row r="269" spans="1:9" x14ac:dyDescent="0.3">
      <c r="A269" t="s">
        <v>93</v>
      </c>
      <c r="B269" t="s">
        <v>299</v>
      </c>
      <c r="C269" s="1">
        <v>1</v>
      </c>
      <c r="D269" s="1">
        <v>8500000</v>
      </c>
      <c r="E269" s="1">
        <v>1</v>
      </c>
      <c r="F269" s="1">
        <v>1</v>
      </c>
      <c r="G269" s="1">
        <v>1</v>
      </c>
      <c r="H269" s="1"/>
      <c r="I269" s="1"/>
    </row>
    <row r="270" spans="1:9" x14ac:dyDescent="0.3">
      <c r="A270" t="s">
        <v>93</v>
      </c>
      <c r="B270" t="s">
        <v>153</v>
      </c>
      <c r="C270" s="1"/>
      <c r="D270" s="1">
        <v>11500000</v>
      </c>
      <c r="E270" s="1"/>
      <c r="F270" s="1"/>
      <c r="G270" s="1">
        <v>1</v>
      </c>
      <c r="H270" s="1"/>
      <c r="I270" s="1"/>
    </row>
    <row r="271" spans="1:9" x14ac:dyDescent="0.3">
      <c r="A271" t="s">
        <v>93</v>
      </c>
      <c r="B271" t="s">
        <v>300</v>
      </c>
      <c r="C271" s="1"/>
      <c r="D271" s="1">
        <v>13000000</v>
      </c>
      <c r="E271" s="1"/>
      <c r="F271" s="1"/>
      <c r="G271" s="1">
        <v>1</v>
      </c>
      <c r="H271" s="1"/>
      <c r="I271" s="1"/>
    </row>
    <row r="272" spans="1:9" x14ac:dyDescent="0.3">
      <c r="A272" t="s">
        <v>93</v>
      </c>
      <c r="B272" t="s">
        <v>301</v>
      </c>
      <c r="C272" s="1">
        <v>1</v>
      </c>
      <c r="D272" s="1">
        <v>6500000</v>
      </c>
      <c r="E272" s="1">
        <v>1</v>
      </c>
      <c r="F272" s="1">
        <v>1</v>
      </c>
      <c r="G272" s="1">
        <v>1</v>
      </c>
      <c r="H272" s="1"/>
      <c r="I272" s="1"/>
    </row>
    <row r="273" spans="1:9" x14ac:dyDescent="0.3">
      <c r="A273" t="s">
        <v>93</v>
      </c>
      <c r="B273" t="s">
        <v>302</v>
      </c>
      <c r="C273" s="1"/>
      <c r="D273" s="1">
        <v>6600000</v>
      </c>
      <c r="E273" s="1">
        <v>1</v>
      </c>
      <c r="F273" s="1">
        <v>1</v>
      </c>
      <c r="G273" s="1">
        <v>0</v>
      </c>
      <c r="H273" s="1"/>
      <c r="I273" s="1"/>
    </row>
    <row r="274" spans="1:9" x14ac:dyDescent="0.3">
      <c r="A274" t="s">
        <v>93</v>
      </c>
      <c r="B274" t="s">
        <v>303</v>
      </c>
      <c r="C274" s="1">
        <v>2</v>
      </c>
      <c r="D274" s="1">
        <v>4450000</v>
      </c>
      <c r="E274" s="1"/>
      <c r="F274" s="1"/>
      <c r="G274" s="1">
        <v>1</v>
      </c>
      <c r="H274" s="1"/>
      <c r="I274" s="1"/>
    </row>
    <row r="275" spans="1:9" x14ac:dyDescent="0.3">
      <c r="A275" t="s">
        <v>93</v>
      </c>
      <c r="B275" t="s">
        <v>304</v>
      </c>
      <c r="C275" s="1">
        <v>1</v>
      </c>
      <c r="D275" s="1">
        <v>4800000</v>
      </c>
      <c r="E275" s="1"/>
      <c r="F275" s="1"/>
      <c r="G275" s="1"/>
      <c r="H275" s="1"/>
      <c r="I275" s="1"/>
    </row>
    <row r="276" spans="1:9" x14ac:dyDescent="0.3">
      <c r="A276" t="s">
        <v>93</v>
      </c>
      <c r="B276" t="s">
        <v>305</v>
      </c>
      <c r="C276" s="1"/>
      <c r="D276" s="1">
        <v>5000000</v>
      </c>
      <c r="E276" s="1"/>
      <c r="F276" s="1">
        <v>1</v>
      </c>
      <c r="G276" s="1">
        <v>1</v>
      </c>
      <c r="H276" s="1"/>
      <c r="I276" s="1"/>
    </row>
    <row r="277" spans="1:9" x14ac:dyDescent="0.3">
      <c r="A277" t="s">
        <v>93</v>
      </c>
      <c r="B277" t="s">
        <v>306</v>
      </c>
      <c r="C277" s="1"/>
      <c r="D277" s="1">
        <v>7200000</v>
      </c>
      <c r="E277" s="1"/>
      <c r="F277" s="1"/>
      <c r="G277" s="1">
        <v>1</v>
      </c>
      <c r="H277" s="1"/>
      <c r="I277" s="1"/>
    </row>
    <row r="278" spans="1:9" x14ac:dyDescent="0.3">
      <c r="A278" t="s">
        <v>93</v>
      </c>
      <c r="B278" t="s">
        <v>79</v>
      </c>
      <c r="C278" s="1"/>
      <c r="D278" s="1">
        <v>12200000</v>
      </c>
      <c r="E278" s="1"/>
      <c r="F278" s="1"/>
      <c r="G278" s="1"/>
      <c r="H278" s="1"/>
      <c r="I278" s="1"/>
    </row>
    <row r="279" spans="1:9" x14ac:dyDescent="0.3">
      <c r="A279" t="s">
        <v>93</v>
      </c>
      <c r="B279" t="s">
        <v>307</v>
      </c>
      <c r="C279" s="1"/>
      <c r="D279" s="1">
        <v>10600000</v>
      </c>
      <c r="E279" s="1"/>
      <c r="F279" s="1"/>
      <c r="G279" s="1">
        <v>1</v>
      </c>
      <c r="H279" s="1"/>
      <c r="I279" s="1"/>
    </row>
    <row r="280" spans="1:9" x14ac:dyDescent="0.3">
      <c r="A280" t="s">
        <v>93</v>
      </c>
      <c r="B280" t="s">
        <v>307</v>
      </c>
      <c r="C280" s="1"/>
      <c r="D280" s="1">
        <v>10200000</v>
      </c>
      <c r="E280" s="1">
        <v>1</v>
      </c>
      <c r="F280" s="1">
        <v>1</v>
      </c>
      <c r="G280" s="1">
        <v>1</v>
      </c>
      <c r="H280" s="1"/>
      <c r="I280" s="1"/>
    </row>
    <row r="281" spans="1:9" x14ac:dyDescent="0.3">
      <c r="A281" t="s">
        <v>93</v>
      </c>
      <c r="B281" t="s">
        <v>308</v>
      </c>
      <c r="C281" s="1">
        <v>2</v>
      </c>
      <c r="D281" s="1">
        <v>8400000</v>
      </c>
      <c r="E281" s="1"/>
      <c r="F281" s="1"/>
      <c r="G281" s="1">
        <v>1</v>
      </c>
      <c r="H281" s="1"/>
      <c r="I281" s="1"/>
    </row>
    <row r="282" spans="1:9" x14ac:dyDescent="0.3">
      <c r="A282" t="s">
        <v>93</v>
      </c>
      <c r="B282" t="s">
        <v>309</v>
      </c>
      <c r="C282" s="1"/>
      <c r="D282" s="1">
        <v>14000000</v>
      </c>
      <c r="E282" s="1"/>
      <c r="F282" s="1"/>
      <c r="G282" s="1"/>
      <c r="H282" s="1"/>
      <c r="I282" s="1"/>
    </row>
    <row r="283" spans="1:9" x14ac:dyDescent="0.3">
      <c r="A283" t="s">
        <v>93</v>
      </c>
      <c r="B283" t="s">
        <v>310</v>
      </c>
      <c r="C283" s="1"/>
      <c r="D283" s="1">
        <v>17500000</v>
      </c>
      <c r="E283" s="1"/>
      <c r="F283" s="1"/>
      <c r="G283" s="1"/>
      <c r="H283" s="1"/>
      <c r="I283" s="1"/>
    </row>
    <row r="284" spans="1:9" x14ac:dyDescent="0.3">
      <c r="A284" t="s">
        <v>93</v>
      </c>
      <c r="B284" t="s">
        <v>311</v>
      </c>
      <c r="C284" s="1"/>
      <c r="D284" s="1">
        <v>17000000</v>
      </c>
      <c r="E284" s="1"/>
      <c r="F284" s="1"/>
      <c r="G284" s="1"/>
      <c r="H284" s="1"/>
      <c r="I284" s="1"/>
    </row>
    <row r="285" spans="1:9" x14ac:dyDescent="0.3">
      <c r="A285" t="s">
        <v>93</v>
      </c>
      <c r="B285" t="s">
        <v>312</v>
      </c>
      <c r="C285" s="1"/>
      <c r="D285" s="1">
        <v>17500000</v>
      </c>
      <c r="E285" s="1"/>
      <c r="F285" s="1"/>
      <c r="G285" s="1"/>
      <c r="H285" s="1"/>
      <c r="I285" s="1"/>
    </row>
    <row r="286" spans="1:9" x14ac:dyDescent="0.3">
      <c r="A286" t="s">
        <v>93</v>
      </c>
      <c r="B286" t="s">
        <v>313</v>
      </c>
      <c r="C286" s="1"/>
      <c r="D286" s="1">
        <v>10000000</v>
      </c>
      <c r="E286" s="1"/>
      <c r="F286" s="1">
        <v>1</v>
      </c>
      <c r="G286" s="1">
        <v>1</v>
      </c>
      <c r="H286" s="1"/>
      <c r="I286" s="1"/>
    </row>
    <row r="287" spans="1:9" x14ac:dyDescent="0.3">
      <c r="A287" t="s">
        <v>10</v>
      </c>
      <c r="B287" t="s">
        <v>314</v>
      </c>
      <c r="C287" s="1">
        <v>1</v>
      </c>
      <c r="D287" s="1">
        <v>13900000</v>
      </c>
      <c r="E287" s="1"/>
      <c r="F287" s="1">
        <v>1</v>
      </c>
      <c r="G287" s="1">
        <v>1</v>
      </c>
      <c r="H287" s="1"/>
      <c r="I287" s="1"/>
    </row>
    <row r="288" spans="1:9" x14ac:dyDescent="0.3">
      <c r="A288" t="s">
        <v>10</v>
      </c>
      <c r="B288" t="s">
        <v>315</v>
      </c>
      <c r="C288" s="1">
        <v>6</v>
      </c>
      <c r="D288" s="1">
        <v>17100000</v>
      </c>
      <c r="E288" s="1"/>
      <c r="F288" s="1">
        <v>1</v>
      </c>
      <c r="G288" s="1">
        <v>1</v>
      </c>
      <c r="H288" s="1"/>
      <c r="I288" s="1">
        <v>7</v>
      </c>
    </row>
    <row r="289" spans="1:9" x14ac:dyDescent="0.3">
      <c r="A289" t="s">
        <v>10</v>
      </c>
      <c r="B289" t="s">
        <v>316</v>
      </c>
      <c r="C289" s="1"/>
      <c r="D289" s="1">
        <v>22000000</v>
      </c>
      <c r="E289" s="1"/>
      <c r="F289" s="1"/>
      <c r="G289" s="1"/>
      <c r="H289" s="1"/>
      <c r="I289" s="1"/>
    </row>
    <row r="290" spans="1:9" x14ac:dyDescent="0.3">
      <c r="A290" t="s">
        <v>10</v>
      </c>
      <c r="B290" t="s">
        <v>317</v>
      </c>
      <c r="C290" s="1">
        <v>2</v>
      </c>
      <c r="D290" s="1">
        <v>2900000</v>
      </c>
      <c r="E290" s="1"/>
      <c r="F290" s="1"/>
      <c r="G290" s="1"/>
      <c r="H290" s="1"/>
      <c r="I290" s="1"/>
    </row>
    <row r="291" spans="1:9" x14ac:dyDescent="0.3">
      <c r="A291" t="s">
        <v>10</v>
      </c>
      <c r="B291" t="s">
        <v>318</v>
      </c>
      <c r="C291" s="1"/>
      <c r="D291" s="1">
        <v>2600000</v>
      </c>
      <c r="E291" s="1"/>
      <c r="F291" s="1"/>
      <c r="G291" s="1">
        <v>1</v>
      </c>
      <c r="H291" s="1"/>
      <c r="I291" s="1"/>
    </row>
    <row r="292" spans="1:9" x14ac:dyDescent="0.3">
      <c r="A292" t="s">
        <v>10</v>
      </c>
      <c r="B292" t="s">
        <v>319</v>
      </c>
      <c r="C292" s="1"/>
      <c r="D292" s="1">
        <v>2900000</v>
      </c>
      <c r="E292" s="1"/>
      <c r="F292" s="1">
        <v>1</v>
      </c>
      <c r="G292" s="1">
        <v>1</v>
      </c>
      <c r="H292" s="1"/>
      <c r="I292" s="1"/>
    </row>
    <row r="293" spans="1:9" x14ac:dyDescent="0.3">
      <c r="A293" t="s">
        <v>10</v>
      </c>
      <c r="B293" t="s">
        <v>320</v>
      </c>
      <c r="C293" s="1"/>
      <c r="D293" s="1">
        <v>2600000</v>
      </c>
      <c r="E293" s="1"/>
      <c r="F293" s="1"/>
      <c r="G293" s="1">
        <v>1</v>
      </c>
      <c r="H293" s="1"/>
      <c r="I293" s="1"/>
    </row>
    <row r="294" spans="1:9" x14ac:dyDescent="0.3">
      <c r="A294" t="s">
        <v>10</v>
      </c>
      <c r="B294" t="s">
        <v>321</v>
      </c>
      <c r="C294" s="1"/>
      <c r="D294" s="1">
        <v>3900000</v>
      </c>
      <c r="E294" s="1"/>
      <c r="F294" s="1"/>
      <c r="G294" s="1">
        <v>1</v>
      </c>
      <c r="H294" s="1"/>
      <c r="I294" s="1"/>
    </row>
    <row r="295" spans="1:9" x14ac:dyDescent="0.3">
      <c r="A295" t="s">
        <v>10</v>
      </c>
      <c r="B295" t="s">
        <v>322</v>
      </c>
      <c r="C295" s="1">
        <v>1</v>
      </c>
      <c r="D295" s="1">
        <v>4700000</v>
      </c>
      <c r="E295" s="1"/>
      <c r="F295" s="1"/>
      <c r="G295" s="1"/>
      <c r="H295" s="1"/>
      <c r="I295" s="1"/>
    </row>
    <row r="296" spans="1:9" x14ac:dyDescent="0.3">
      <c r="A296" t="s">
        <v>10</v>
      </c>
      <c r="B296" t="s">
        <v>323</v>
      </c>
      <c r="C296" s="1">
        <v>49</v>
      </c>
      <c r="D296" s="1">
        <v>3100000</v>
      </c>
      <c r="E296" s="1"/>
      <c r="F296" s="1">
        <v>1</v>
      </c>
      <c r="G296" s="1">
        <v>0</v>
      </c>
      <c r="H296" s="1"/>
      <c r="I296" s="1"/>
    </row>
    <row r="297" spans="1:9" x14ac:dyDescent="0.3">
      <c r="A297" t="s">
        <v>10</v>
      </c>
      <c r="B297" t="s">
        <v>324</v>
      </c>
      <c r="C297" s="1">
        <v>1</v>
      </c>
      <c r="D297" s="1">
        <v>3900000</v>
      </c>
      <c r="E297" s="1"/>
      <c r="F297" s="1"/>
      <c r="G297" s="1"/>
      <c r="H297" s="1"/>
      <c r="I297" s="1"/>
    </row>
    <row r="298" spans="1:9" x14ac:dyDescent="0.3">
      <c r="A298" t="s">
        <v>10</v>
      </c>
      <c r="B298" t="s">
        <v>325</v>
      </c>
      <c r="C298" s="1">
        <v>4</v>
      </c>
      <c r="D298" s="1">
        <v>4200000</v>
      </c>
      <c r="E298" s="1"/>
      <c r="F298" s="1">
        <v>-1</v>
      </c>
      <c r="G298" s="1">
        <v>0</v>
      </c>
      <c r="H298" s="1"/>
      <c r="I298" s="1"/>
    </row>
    <row r="299" spans="1:9" x14ac:dyDescent="0.3">
      <c r="A299" t="s">
        <v>10</v>
      </c>
      <c r="B299" t="s">
        <v>326</v>
      </c>
      <c r="C299" s="1">
        <v>2</v>
      </c>
      <c r="D299" s="1">
        <v>4200000</v>
      </c>
      <c r="E299" s="1"/>
      <c r="F299" s="1"/>
      <c r="G299" s="1"/>
      <c r="H299" s="1"/>
      <c r="I299" s="1"/>
    </row>
    <row r="300" spans="1:9" x14ac:dyDescent="0.3">
      <c r="A300" t="s">
        <v>10</v>
      </c>
      <c r="B300" t="s">
        <v>327</v>
      </c>
      <c r="C300" s="1">
        <v>2</v>
      </c>
      <c r="D300" s="1">
        <v>5500000</v>
      </c>
      <c r="E300" s="1"/>
      <c r="F300" s="1"/>
      <c r="G300" s="1">
        <v>-1</v>
      </c>
      <c r="H300" s="1"/>
      <c r="I300" s="1"/>
    </row>
    <row r="301" spans="1:9" x14ac:dyDescent="0.3">
      <c r="A301" t="s">
        <v>10</v>
      </c>
      <c r="B301" t="s">
        <v>328</v>
      </c>
      <c r="C301" s="1"/>
      <c r="D301" s="1">
        <v>4700000</v>
      </c>
      <c r="E301" s="1"/>
      <c r="F301" s="1">
        <v>1</v>
      </c>
      <c r="G301" s="1">
        <v>1</v>
      </c>
      <c r="H301" s="1"/>
      <c r="I301" s="1"/>
    </row>
    <row r="302" spans="1:9" x14ac:dyDescent="0.3">
      <c r="A302" t="s">
        <v>10</v>
      </c>
      <c r="B302" t="s">
        <v>329</v>
      </c>
      <c r="C302" s="1">
        <v>1</v>
      </c>
      <c r="D302" s="1">
        <v>4900000</v>
      </c>
      <c r="E302" s="1"/>
      <c r="F302" s="1"/>
      <c r="G302" s="1">
        <v>1</v>
      </c>
      <c r="H302" s="1"/>
      <c r="I302" s="1"/>
    </row>
    <row r="303" spans="1:9" x14ac:dyDescent="0.3">
      <c r="A303" t="s">
        <v>10</v>
      </c>
      <c r="B303" t="s">
        <v>330</v>
      </c>
      <c r="C303" s="1">
        <v>1</v>
      </c>
      <c r="D303" s="1">
        <v>4500000</v>
      </c>
      <c r="E303" s="1"/>
      <c r="F303" s="1"/>
      <c r="G303" s="1"/>
      <c r="H303" s="1"/>
      <c r="I303" s="1"/>
    </row>
    <row r="304" spans="1:9" x14ac:dyDescent="0.3">
      <c r="A304" t="s">
        <v>10</v>
      </c>
      <c r="B304" t="s">
        <v>331</v>
      </c>
      <c r="C304" s="1"/>
      <c r="D304" s="1">
        <v>5800000</v>
      </c>
      <c r="E304" s="1"/>
      <c r="F304" s="1"/>
      <c r="G304" s="1">
        <v>1</v>
      </c>
      <c r="H304" s="1"/>
      <c r="I304" s="1"/>
    </row>
    <row r="305" spans="1:9" x14ac:dyDescent="0.3">
      <c r="A305" t="s">
        <v>10</v>
      </c>
      <c r="B305" t="s">
        <v>332</v>
      </c>
      <c r="C305" s="1"/>
      <c r="D305" s="1">
        <v>5500000</v>
      </c>
      <c r="E305" s="1"/>
      <c r="F305" s="1"/>
      <c r="G305" s="1"/>
      <c r="H305" s="1"/>
      <c r="I305" s="1"/>
    </row>
    <row r="306" spans="1:9" x14ac:dyDescent="0.3">
      <c r="A306" t="s">
        <v>10</v>
      </c>
      <c r="B306" t="s">
        <v>333</v>
      </c>
      <c r="C306" s="1">
        <v>1</v>
      </c>
      <c r="D306" s="1">
        <v>7100000</v>
      </c>
      <c r="E306" s="1">
        <v>1</v>
      </c>
      <c r="F306" s="1">
        <v>1</v>
      </c>
      <c r="G306" s="1">
        <v>1</v>
      </c>
      <c r="H306" s="1"/>
      <c r="I306" s="1"/>
    </row>
    <row r="307" spans="1:9" x14ac:dyDescent="0.3">
      <c r="A307" t="s">
        <v>10</v>
      </c>
      <c r="B307" t="s">
        <v>334</v>
      </c>
      <c r="C307" s="1"/>
      <c r="D307" s="1">
        <v>7300000</v>
      </c>
      <c r="E307" s="1"/>
      <c r="F307" s="1"/>
      <c r="G307" s="1">
        <v>1</v>
      </c>
      <c r="H307" s="1"/>
      <c r="I307" s="1"/>
    </row>
    <row r="308" spans="1:9" x14ac:dyDescent="0.3">
      <c r="A308" t="s">
        <v>10</v>
      </c>
      <c r="B308" t="s">
        <v>335</v>
      </c>
      <c r="C308" s="1"/>
      <c r="D308" s="1">
        <v>6200000</v>
      </c>
      <c r="E308" s="1"/>
      <c r="F308" s="1"/>
      <c r="G308" s="1">
        <v>1</v>
      </c>
      <c r="H308" s="1"/>
      <c r="I308" s="1"/>
    </row>
    <row r="309" spans="1:9" x14ac:dyDescent="0.3">
      <c r="A309" t="s">
        <v>10</v>
      </c>
      <c r="B309" t="s">
        <v>336</v>
      </c>
      <c r="C309" s="1">
        <v>3</v>
      </c>
      <c r="D309" s="1">
        <v>8000000</v>
      </c>
      <c r="E309" s="1"/>
      <c r="F309" s="1"/>
      <c r="G309" s="1">
        <v>1</v>
      </c>
      <c r="H309" s="1"/>
      <c r="I309" s="1"/>
    </row>
    <row r="310" spans="1:9" x14ac:dyDescent="0.3">
      <c r="A310" t="s">
        <v>10</v>
      </c>
      <c r="B310" t="s">
        <v>337</v>
      </c>
      <c r="C310" s="1"/>
      <c r="D310" s="1">
        <v>6200000</v>
      </c>
      <c r="E310" s="1"/>
      <c r="F310" s="1"/>
      <c r="G310" s="1"/>
      <c r="H310" s="1"/>
      <c r="I310" s="1"/>
    </row>
    <row r="311" spans="1:9" x14ac:dyDescent="0.3">
      <c r="A311" t="s">
        <v>10</v>
      </c>
      <c r="B311" t="s">
        <v>338</v>
      </c>
      <c r="C311" s="1"/>
      <c r="D311" s="1">
        <v>7300000</v>
      </c>
      <c r="E311" s="1"/>
      <c r="F311" s="1"/>
      <c r="G311" s="1">
        <v>1</v>
      </c>
      <c r="H311" s="1"/>
      <c r="I311" s="1"/>
    </row>
    <row r="312" spans="1:9" x14ac:dyDescent="0.3">
      <c r="A312" t="s">
        <v>10</v>
      </c>
      <c r="B312" t="s">
        <v>339</v>
      </c>
      <c r="C312" s="1"/>
      <c r="D312" s="1">
        <v>5900000</v>
      </c>
      <c r="E312" s="1"/>
      <c r="F312" s="1">
        <v>1</v>
      </c>
      <c r="G312" s="1">
        <v>1</v>
      </c>
      <c r="H312" s="1"/>
      <c r="I312" s="1"/>
    </row>
    <row r="313" spans="1:9" x14ac:dyDescent="0.3">
      <c r="A313" t="s">
        <v>10</v>
      </c>
      <c r="B313" t="s">
        <v>340</v>
      </c>
      <c r="C313" s="1">
        <v>2</v>
      </c>
      <c r="D313" s="1">
        <v>5900000</v>
      </c>
      <c r="E313" s="1"/>
      <c r="F313" s="1">
        <v>0</v>
      </c>
      <c r="G313" s="1">
        <v>1</v>
      </c>
      <c r="H313" s="1"/>
      <c r="I313" s="1"/>
    </row>
    <row r="314" spans="1:9" x14ac:dyDescent="0.3">
      <c r="A314" t="s">
        <v>10</v>
      </c>
      <c r="B314" t="s">
        <v>341</v>
      </c>
      <c r="C314" s="1">
        <v>2</v>
      </c>
      <c r="D314" s="1">
        <v>10900000</v>
      </c>
      <c r="E314" s="1"/>
      <c r="F314" s="1"/>
      <c r="G314" s="1"/>
      <c r="H314" s="1">
        <v>1</v>
      </c>
      <c r="I314" s="1">
        <v>1</v>
      </c>
    </row>
    <row r="315" spans="1:9" x14ac:dyDescent="0.3">
      <c r="A315" t="s">
        <v>10</v>
      </c>
      <c r="B315" t="s">
        <v>342</v>
      </c>
      <c r="C315" s="1">
        <v>9</v>
      </c>
      <c r="D315" s="1">
        <v>13500000</v>
      </c>
      <c r="E315" s="1"/>
      <c r="F315" s="1">
        <v>1</v>
      </c>
      <c r="G315" s="1">
        <v>1</v>
      </c>
      <c r="H315" s="1"/>
      <c r="I315" s="1"/>
    </row>
    <row r="316" spans="1:9" x14ac:dyDescent="0.3">
      <c r="A316" t="s">
        <v>10</v>
      </c>
      <c r="B316" t="s">
        <v>343</v>
      </c>
      <c r="C316" s="1">
        <v>8</v>
      </c>
      <c r="D316" s="1">
        <v>2950000</v>
      </c>
      <c r="E316" s="1">
        <v>1</v>
      </c>
      <c r="F316" s="1">
        <v>1</v>
      </c>
      <c r="G316" s="1">
        <v>1</v>
      </c>
      <c r="H316" s="1"/>
      <c r="I316" s="1">
        <v>12</v>
      </c>
    </row>
    <row r="317" spans="1:9" x14ac:dyDescent="0.3">
      <c r="A317" t="s">
        <v>10</v>
      </c>
      <c r="B317" t="s">
        <v>344</v>
      </c>
      <c r="C317" s="1">
        <v>5</v>
      </c>
      <c r="D317" s="1">
        <v>2950000</v>
      </c>
      <c r="E317" s="1">
        <v>1</v>
      </c>
      <c r="F317" s="1">
        <v>1</v>
      </c>
      <c r="G317" s="1">
        <v>1</v>
      </c>
      <c r="H317" s="1"/>
      <c r="I317" s="1">
        <v>8</v>
      </c>
    </row>
    <row r="318" spans="1:9" x14ac:dyDescent="0.3">
      <c r="A318" t="s">
        <v>10</v>
      </c>
      <c r="B318" t="s">
        <v>140</v>
      </c>
      <c r="C318" s="1"/>
      <c r="D318" s="1">
        <v>15500000</v>
      </c>
      <c r="E318" s="1"/>
      <c r="F318" s="1"/>
      <c r="G318" s="1"/>
      <c r="H318" s="1"/>
      <c r="I318" s="1"/>
    </row>
    <row r="319" spans="1:9" x14ac:dyDescent="0.3">
      <c r="A319" t="s">
        <v>10</v>
      </c>
      <c r="B319" t="s">
        <v>345</v>
      </c>
      <c r="C319" s="1"/>
      <c r="D319" s="1">
        <v>15500000</v>
      </c>
      <c r="E319" s="1"/>
      <c r="F319" s="1"/>
      <c r="G319" s="1"/>
      <c r="H319" s="1"/>
      <c r="I319" s="1"/>
    </row>
    <row r="320" spans="1:9" x14ac:dyDescent="0.3">
      <c r="A320" t="s">
        <v>10</v>
      </c>
      <c r="B320" t="s">
        <v>346</v>
      </c>
      <c r="C320" s="1">
        <v>1</v>
      </c>
      <c r="D320" s="1">
        <v>9500000</v>
      </c>
      <c r="E320" s="1">
        <v>1</v>
      </c>
      <c r="F320" s="1">
        <v>1</v>
      </c>
      <c r="G320" s="1">
        <v>1</v>
      </c>
      <c r="H320" s="1"/>
      <c r="I320" s="1"/>
    </row>
    <row r="321" spans="1:9" x14ac:dyDescent="0.3">
      <c r="A321" t="s">
        <v>10</v>
      </c>
      <c r="B321" t="s">
        <v>347</v>
      </c>
      <c r="C321" s="1"/>
      <c r="D321" s="1">
        <v>14500000</v>
      </c>
      <c r="E321" s="1"/>
      <c r="F321" s="1"/>
      <c r="G321" s="1">
        <v>1</v>
      </c>
      <c r="H321" s="1"/>
      <c r="I321" s="1"/>
    </row>
    <row r="322" spans="1:9" x14ac:dyDescent="0.3">
      <c r="A322" t="s">
        <v>10</v>
      </c>
      <c r="B322" t="s">
        <v>80</v>
      </c>
      <c r="C322" s="1"/>
      <c r="D322" s="1">
        <v>9000000</v>
      </c>
      <c r="E322" s="1"/>
      <c r="F322" s="1"/>
      <c r="G322" s="1"/>
      <c r="H322" s="1"/>
      <c r="I322" s="1"/>
    </row>
    <row r="323" spans="1:9" x14ac:dyDescent="0.3">
      <c r="A323" t="s">
        <v>10</v>
      </c>
      <c r="B323" t="s">
        <v>58</v>
      </c>
      <c r="C323" s="1">
        <v>2</v>
      </c>
      <c r="D323" s="1">
        <v>18500000</v>
      </c>
      <c r="E323" s="1"/>
      <c r="F323" s="1"/>
      <c r="G323" s="1">
        <v>1</v>
      </c>
      <c r="H323" s="1"/>
      <c r="I323" s="1"/>
    </row>
    <row r="324" spans="1:9" x14ac:dyDescent="0.3">
      <c r="A324" t="s">
        <v>10</v>
      </c>
      <c r="B324" t="s">
        <v>348</v>
      </c>
      <c r="C324" s="1"/>
      <c r="D324" s="1">
        <v>14500000</v>
      </c>
      <c r="E324" s="1"/>
      <c r="F324" s="1"/>
      <c r="G324" s="1"/>
      <c r="H324" s="1"/>
      <c r="I324" s="1"/>
    </row>
    <row r="325" spans="1:9" x14ac:dyDescent="0.3">
      <c r="A325" t="s">
        <v>10</v>
      </c>
      <c r="B325" t="s">
        <v>349</v>
      </c>
      <c r="C325" s="1">
        <v>8</v>
      </c>
      <c r="D325" s="1">
        <v>12200000</v>
      </c>
      <c r="E325" s="1"/>
      <c r="F325" s="1"/>
      <c r="G325" s="1"/>
      <c r="H325" s="1"/>
      <c r="I325" s="1">
        <v>2</v>
      </c>
    </row>
    <row r="326" spans="1:9" x14ac:dyDescent="0.3">
      <c r="A326" t="s">
        <v>10</v>
      </c>
      <c r="B326" t="s">
        <v>34</v>
      </c>
      <c r="C326" s="1"/>
      <c r="D326" s="1">
        <v>10700000</v>
      </c>
      <c r="E326" s="1"/>
      <c r="F326" s="1"/>
      <c r="G326" s="1"/>
      <c r="H326" s="1"/>
      <c r="I326" s="1"/>
    </row>
    <row r="327" spans="1:9" x14ac:dyDescent="0.3">
      <c r="A327" t="s">
        <v>10</v>
      </c>
      <c r="B327" t="s">
        <v>350</v>
      </c>
      <c r="C327" s="1">
        <v>1</v>
      </c>
      <c r="D327" s="1">
        <v>15000000</v>
      </c>
      <c r="E327" s="1"/>
      <c r="F327" s="1"/>
      <c r="G327" s="1"/>
      <c r="H327" s="1"/>
      <c r="I327" s="1"/>
    </row>
    <row r="328" spans="1:9" x14ac:dyDescent="0.3">
      <c r="A328" t="s">
        <v>10</v>
      </c>
      <c r="B328" t="s">
        <v>115</v>
      </c>
      <c r="C328" s="1"/>
      <c r="D328" s="1">
        <v>20800000</v>
      </c>
      <c r="E328" s="1"/>
      <c r="F328" s="1"/>
      <c r="G328" s="1">
        <v>1</v>
      </c>
      <c r="H328" s="1"/>
      <c r="I328" s="1"/>
    </row>
    <row r="329" spans="1:9" x14ac:dyDescent="0.3">
      <c r="A329" t="s">
        <v>10</v>
      </c>
      <c r="B329" t="s">
        <v>351</v>
      </c>
      <c r="C329" s="1">
        <v>3</v>
      </c>
      <c r="D329" s="1">
        <v>21000000</v>
      </c>
      <c r="E329" s="1"/>
      <c r="F329" s="1"/>
      <c r="G329" s="1"/>
      <c r="H329" s="1"/>
      <c r="I329" s="1"/>
    </row>
    <row r="330" spans="1:9" x14ac:dyDescent="0.3">
      <c r="A330" t="s">
        <v>10</v>
      </c>
      <c r="B330" t="s">
        <v>352</v>
      </c>
      <c r="C330" s="1"/>
      <c r="D330" s="1">
        <v>23500000</v>
      </c>
      <c r="E330" s="1"/>
      <c r="F330" s="1"/>
      <c r="G330" s="1"/>
      <c r="H330" s="1"/>
      <c r="I330" s="1"/>
    </row>
    <row r="331" spans="1:9" x14ac:dyDescent="0.3">
      <c r="A331" t="s">
        <v>10</v>
      </c>
      <c r="B331" t="s">
        <v>353</v>
      </c>
      <c r="C331" s="1">
        <v>5</v>
      </c>
      <c r="D331" s="1">
        <v>20500000</v>
      </c>
      <c r="E331" s="1"/>
      <c r="F331" s="1"/>
      <c r="G331" s="1"/>
      <c r="H331" s="1"/>
      <c r="I331" s="1"/>
    </row>
    <row r="332" spans="1:9" x14ac:dyDescent="0.3">
      <c r="A332" t="s">
        <v>10</v>
      </c>
      <c r="B332" t="s">
        <v>354</v>
      </c>
      <c r="C332" s="1"/>
      <c r="D332" s="1">
        <v>18000000</v>
      </c>
      <c r="E332" s="1"/>
      <c r="F332" s="1">
        <v>1</v>
      </c>
      <c r="G332" s="1">
        <v>1</v>
      </c>
      <c r="H332" s="1"/>
      <c r="I332" s="1"/>
    </row>
    <row r="333" spans="1:9" x14ac:dyDescent="0.3">
      <c r="A333" t="s">
        <v>10</v>
      </c>
      <c r="B333" t="s">
        <v>261</v>
      </c>
      <c r="C333" s="1"/>
      <c r="D333" s="1">
        <v>26500000</v>
      </c>
      <c r="E333" s="1"/>
      <c r="F333" s="1">
        <v>1</v>
      </c>
      <c r="G333" s="1">
        <v>1</v>
      </c>
      <c r="H333" s="1"/>
      <c r="I333" s="1"/>
    </row>
    <row r="334" spans="1:9" x14ac:dyDescent="0.3">
      <c r="A334" t="s">
        <v>10</v>
      </c>
      <c r="B334" t="s">
        <v>355</v>
      </c>
      <c r="C334" s="1"/>
      <c r="D334" s="1">
        <v>23500000</v>
      </c>
      <c r="E334" s="1"/>
      <c r="F334" s="1"/>
      <c r="G334" s="1"/>
      <c r="H334" s="1"/>
      <c r="I334" s="1"/>
    </row>
    <row r="335" spans="1:9" x14ac:dyDescent="0.3">
      <c r="A335" t="s">
        <v>10</v>
      </c>
      <c r="B335" t="s">
        <v>355</v>
      </c>
      <c r="C335" s="1"/>
      <c r="D335" s="1">
        <v>23500000</v>
      </c>
      <c r="E335" s="1"/>
      <c r="F335" s="1"/>
      <c r="G335" s="1"/>
      <c r="H335" s="1"/>
      <c r="I335" s="1"/>
    </row>
    <row r="336" spans="1:9" x14ac:dyDescent="0.3">
      <c r="A336" t="s">
        <v>10</v>
      </c>
      <c r="B336" t="s">
        <v>150</v>
      </c>
      <c r="C336" s="1">
        <v>1</v>
      </c>
      <c r="D336" s="1">
        <v>25500000</v>
      </c>
      <c r="E336" s="1">
        <v>1</v>
      </c>
      <c r="F336" s="1">
        <v>1</v>
      </c>
      <c r="G336" s="1">
        <v>1</v>
      </c>
      <c r="H336" s="1"/>
      <c r="I336" s="1"/>
    </row>
    <row r="337" spans="1:9" x14ac:dyDescent="0.3">
      <c r="A337" t="s">
        <v>215</v>
      </c>
      <c r="B337" t="s">
        <v>356</v>
      </c>
      <c r="C337" s="1"/>
      <c r="D337" s="1">
        <v>220000</v>
      </c>
      <c r="E337" s="1"/>
      <c r="F337" s="1"/>
      <c r="G337" s="1"/>
      <c r="H337" s="1"/>
      <c r="I337" s="1"/>
    </row>
    <row r="338" spans="1:9" x14ac:dyDescent="0.3">
      <c r="A338" t="s">
        <v>215</v>
      </c>
      <c r="B338" t="s">
        <v>216</v>
      </c>
      <c r="C338" s="1"/>
      <c r="D338" s="1">
        <v>1600000</v>
      </c>
      <c r="E338" s="1"/>
      <c r="F338" s="1"/>
      <c r="G338" s="1"/>
      <c r="H338" s="1"/>
      <c r="I338" s="1"/>
    </row>
    <row r="339" spans="1:9" x14ac:dyDescent="0.3">
      <c r="A339" t="s">
        <v>215</v>
      </c>
      <c r="B339" t="s">
        <v>357</v>
      </c>
      <c r="C339" s="1"/>
      <c r="D339" s="1">
        <v>650000</v>
      </c>
      <c r="E339" s="1"/>
      <c r="F339" s="1"/>
      <c r="G339" s="1"/>
      <c r="H339" s="1"/>
      <c r="I339" s="1"/>
    </row>
    <row r="340" spans="1:9" x14ac:dyDescent="0.3">
      <c r="A340" t="s">
        <v>215</v>
      </c>
      <c r="B340" t="s">
        <v>23</v>
      </c>
      <c r="C340" s="1">
        <v>2</v>
      </c>
      <c r="D340" s="1">
        <v>1090000</v>
      </c>
      <c r="E340" s="1"/>
      <c r="F340" s="1">
        <v>1</v>
      </c>
      <c r="G340" s="1">
        <v>1</v>
      </c>
      <c r="H340" s="1"/>
      <c r="I340" s="1"/>
    </row>
    <row r="341" spans="1:9" x14ac:dyDescent="0.3">
      <c r="A341" t="s">
        <v>264</v>
      </c>
      <c r="B341" t="s">
        <v>358</v>
      </c>
      <c r="C341" s="1"/>
      <c r="D341" s="1">
        <v>10000000</v>
      </c>
      <c r="E341" s="1"/>
      <c r="F341" s="1"/>
      <c r="G341" s="1"/>
      <c r="H341" s="1"/>
      <c r="I341" s="1"/>
    </row>
    <row r="342" spans="1:9" x14ac:dyDescent="0.3">
      <c r="A342" t="s">
        <v>264</v>
      </c>
      <c r="B342" t="s">
        <v>154</v>
      </c>
      <c r="C342" s="1"/>
      <c r="D342" s="1">
        <v>16900000</v>
      </c>
      <c r="E342" s="1"/>
      <c r="F342" s="1">
        <v>1</v>
      </c>
      <c r="G342" s="1">
        <v>1</v>
      </c>
      <c r="H342" s="1"/>
      <c r="I342" s="1"/>
    </row>
    <row r="343" spans="1:9" x14ac:dyDescent="0.3">
      <c r="A343" t="s">
        <v>264</v>
      </c>
      <c r="B343" t="s">
        <v>359</v>
      </c>
      <c r="C343" s="1"/>
      <c r="D343" s="1">
        <v>14100000</v>
      </c>
      <c r="E343" s="1"/>
      <c r="F343" s="1"/>
      <c r="G343" s="1"/>
      <c r="H343" s="1"/>
      <c r="I343" s="1"/>
    </row>
    <row r="344" spans="1:9" x14ac:dyDescent="0.3">
      <c r="A344" t="s">
        <v>264</v>
      </c>
      <c r="B344" t="s">
        <v>119</v>
      </c>
      <c r="C344" s="1"/>
      <c r="D344" s="1">
        <v>27000000</v>
      </c>
      <c r="E344" s="1"/>
      <c r="F344" s="1"/>
      <c r="G344" s="1"/>
      <c r="H344" s="1"/>
      <c r="I344" s="1"/>
    </row>
    <row r="345" spans="1:9" x14ac:dyDescent="0.3">
      <c r="A345" t="s">
        <v>264</v>
      </c>
      <c r="B345" t="s">
        <v>360</v>
      </c>
      <c r="C345" s="1"/>
      <c r="D345" s="1">
        <v>17000000</v>
      </c>
      <c r="E345" s="1"/>
      <c r="F345" s="1">
        <v>1</v>
      </c>
      <c r="G345" s="1">
        <v>1</v>
      </c>
      <c r="H345" s="1"/>
      <c r="I345" s="1"/>
    </row>
    <row r="346" spans="1:9" x14ac:dyDescent="0.3">
      <c r="A346" t="s">
        <v>264</v>
      </c>
      <c r="B346" t="s">
        <v>361</v>
      </c>
      <c r="C346" s="1">
        <v>6</v>
      </c>
      <c r="D346" s="1">
        <v>19000000</v>
      </c>
      <c r="E346" s="1"/>
      <c r="F346" s="1"/>
      <c r="G346" s="1"/>
      <c r="H346" s="1"/>
      <c r="I346" s="1"/>
    </row>
    <row r="347" spans="1:9" x14ac:dyDescent="0.3">
      <c r="A347" t="s">
        <v>264</v>
      </c>
      <c r="B347" t="s">
        <v>362</v>
      </c>
      <c r="C347" s="1"/>
      <c r="D347" s="1">
        <v>19000000</v>
      </c>
      <c r="E347" s="1"/>
      <c r="F347" s="1">
        <v>1</v>
      </c>
      <c r="G347" s="1">
        <v>1</v>
      </c>
      <c r="H347" s="1"/>
      <c r="I347" s="1"/>
    </row>
    <row r="348" spans="1:9" x14ac:dyDescent="0.3">
      <c r="A348" t="s">
        <v>264</v>
      </c>
      <c r="B348" t="s">
        <v>363</v>
      </c>
      <c r="C348" s="1">
        <v>31</v>
      </c>
      <c r="D348" s="1">
        <v>20000000</v>
      </c>
      <c r="E348" s="1"/>
      <c r="F348" s="1">
        <v>1</v>
      </c>
      <c r="G348" s="1">
        <v>1</v>
      </c>
      <c r="H348" s="1"/>
      <c r="I348" s="1"/>
    </row>
    <row r="349" spans="1:9" x14ac:dyDescent="0.3">
      <c r="A349" t="s">
        <v>125</v>
      </c>
      <c r="B349" t="s">
        <v>198</v>
      </c>
      <c r="C349" s="1">
        <v>1</v>
      </c>
      <c r="D349" s="1">
        <v>1690000</v>
      </c>
      <c r="E349" s="1"/>
      <c r="F349" s="1"/>
      <c r="G349" s="1"/>
      <c r="H349" s="1"/>
      <c r="I349" s="1"/>
    </row>
    <row r="350" spans="1:9" x14ac:dyDescent="0.3">
      <c r="A350" t="s">
        <v>125</v>
      </c>
      <c r="B350" t="s">
        <v>364</v>
      </c>
      <c r="C350" s="1"/>
      <c r="D350" s="1">
        <v>800000</v>
      </c>
      <c r="E350" s="1"/>
      <c r="F350" s="1"/>
      <c r="G350" s="1">
        <v>1</v>
      </c>
      <c r="H350" s="1"/>
      <c r="I350" s="1"/>
    </row>
    <row r="351" spans="1:9" x14ac:dyDescent="0.3">
      <c r="A351" t="s">
        <v>125</v>
      </c>
      <c r="B351" t="s">
        <v>165</v>
      </c>
      <c r="C351" s="1">
        <v>3</v>
      </c>
      <c r="D351" s="1">
        <v>1200000</v>
      </c>
      <c r="E351" s="1"/>
      <c r="F351" s="1"/>
      <c r="G351" s="1">
        <v>0</v>
      </c>
      <c r="H351" s="1"/>
      <c r="I351" s="1"/>
    </row>
    <row r="352" spans="1:9" x14ac:dyDescent="0.3">
      <c r="A352" t="s">
        <v>125</v>
      </c>
      <c r="B352" t="s">
        <v>365</v>
      </c>
      <c r="C352" s="1">
        <v>2</v>
      </c>
      <c r="D352" s="1">
        <v>1090000</v>
      </c>
      <c r="E352" s="1"/>
      <c r="F352" s="1"/>
      <c r="G352" s="1"/>
      <c r="H352" s="1"/>
      <c r="I352" s="1"/>
    </row>
    <row r="353" spans="1:9" x14ac:dyDescent="0.3">
      <c r="A353" t="s">
        <v>125</v>
      </c>
      <c r="B353" t="s">
        <v>366</v>
      </c>
      <c r="C353" s="1">
        <v>3</v>
      </c>
      <c r="D353" s="1">
        <v>2150000</v>
      </c>
      <c r="E353" s="1"/>
      <c r="F353" s="1">
        <v>1</v>
      </c>
      <c r="G353" s="1">
        <v>1</v>
      </c>
      <c r="H353" s="1"/>
      <c r="I353" s="1"/>
    </row>
    <row r="354" spans="1:9" x14ac:dyDescent="0.3">
      <c r="A354" t="s">
        <v>125</v>
      </c>
      <c r="B354" t="s">
        <v>367</v>
      </c>
      <c r="C354" s="1"/>
      <c r="D354" s="1">
        <v>1000000</v>
      </c>
      <c r="E354" s="1"/>
      <c r="F354" s="1"/>
      <c r="G354" s="1"/>
      <c r="H354" s="1"/>
      <c r="I354" s="1"/>
    </row>
    <row r="355" spans="1:9" x14ac:dyDescent="0.3">
      <c r="A355" t="s">
        <v>125</v>
      </c>
      <c r="B355" t="s">
        <v>267</v>
      </c>
      <c r="C355" s="1"/>
      <c r="D355" s="1">
        <v>1500000</v>
      </c>
      <c r="E355" s="1"/>
      <c r="F355" s="1">
        <v>1</v>
      </c>
      <c r="G355" s="1">
        <v>1</v>
      </c>
      <c r="H355" s="1"/>
      <c r="I355" s="1"/>
    </row>
    <row r="356" spans="1:9" x14ac:dyDescent="0.3">
      <c r="A356" t="s">
        <v>125</v>
      </c>
      <c r="B356" t="s">
        <v>218</v>
      </c>
      <c r="C356" s="1"/>
      <c r="D356" s="1">
        <v>2200000</v>
      </c>
      <c r="E356" s="1"/>
      <c r="F356" s="1"/>
      <c r="G356" s="1"/>
      <c r="H356" s="1"/>
      <c r="I356" s="1"/>
    </row>
    <row r="357" spans="1:9" x14ac:dyDescent="0.3">
      <c r="A357" t="s">
        <v>125</v>
      </c>
      <c r="B357" t="s">
        <v>268</v>
      </c>
      <c r="C357" s="1">
        <v>1</v>
      </c>
      <c r="D357" s="1">
        <v>2400000</v>
      </c>
      <c r="E357" s="1"/>
      <c r="F357" s="1"/>
      <c r="G357" s="1">
        <v>1</v>
      </c>
      <c r="H357" s="1"/>
      <c r="I357" s="1"/>
    </row>
    <row r="358" spans="1:9" x14ac:dyDescent="0.3">
      <c r="A358" t="s">
        <v>125</v>
      </c>
      <c r="B358" t="s">
        <v>268</v>
      </c>
      <c r="C358" s="1">
        <v>1</v>
      </c>
      <c r="D358" s="1">
        <v>2200000</v>
      </c>
      <c r="E358" s="1"/>
      <c r="F358" s="1"/>
      <c r="G358" s="1">
        <v>1</v>
      </c>
      <c r="H358" s="1"/>
      <c r="I358" s="1"/>
    </row>
    <row r="359" spans="1:9" x14ac:dyDescent="0.3">
      <c r="A359" t="s">
        <v>125</v>
      </c>
      <c r="B359" t="s">
        <v>368</v>
      </c>
      <c r="C359" s="1">
        <v>4</v>
      </c>
      <c r="D359" s="1">
        <v>2000000</v>
      </c>
      <c r="E359" s="1"/>
      <c r="F359" s="1"/>
      <c r="G359" s="1">
        <v>1</v>
      </c>
      <c r="H359" s="1"/>
      <c r="I359" s="1"/>
    </row>
    <row r="360" spans="1:9" x14ac:dyDescent="0.3">
      <c r="A360" t="s">
        <v>125</v>
      </c>
      <c r="B360" t="s">
        <v>126</v>
      </c>
      <c r="C360" s="1"/>
      <c r="D360" s="1">
        <v>2500000</v>
      </c>
      <c r="E360" s="1"/>
      <c r="F360" s="1"/>
      <c r="G360" s="1">
        <v>1</v>
      </c>
      <c r="H360" s="1"/>
      <c r="I360" s="1"/>
    </row>
    <row r="361" spans="1:9" x14ac:dyDescent="0.3">
      <c r="A361" t="s">
        <v>121</v>
      </c>
      <c r="B361" t="s">
        <v>369</v>
      </c>
      <c r="C361" s="1">
        <v>1</v>
      </c>
      <c r="D361" s="1">
        <v>5000000</v>
      </c>
      <c r="E361" s="1"/>
      <c r="F361" s="1"/>
      <c r="G361" s="1"/>
      <c r="H361" s="1"/>
      <c r="I361" s="1"/>
    </row>
    <row r="362" spans="1:9" x14ac:dyDescent="0.3">
      <c r="A362" t="s">
        <v>121</v>
      </c>
      <c r="B362" t="s">
        <v>370</v>
      </c>
      <c r="C362" s="1"/>
      <c r="D362" s="1">
        <v>3800000</v>
      </c>
      <c r="E362" s="1"/>
      <c r="F362" s="1"/>
      <c r="G362" s="1"/>
      <c r="H362" s="1"/>
      <c r="I362" s="1"/>
    </row>
    <row r="363" spans="1:9" x14ac:dyDescent="0.3">
      <c r="A363" t="s">
        <v>121</v>
      </c>
      <c r="B363" t="s">
        <v>371</v>
      </c>
      <c r="C363" s="1"/>
      <c r="D363" s="1">
        <v>4800000</v>
      </c>
      <c r="E363" s="1"/>
      <c r="F363" s="1"/>
      <c r="G363" s="1"/>
      <c r="H363" s="1"/>
      <c r="I363" s="1"/>
    </row>
    <row r="364" spans="1:9" x14ac:dyDescent="0.3">
      <c r="A364" t="s">
        <v>121</v>
      </c>
      <c r="B364" t="s">
        <v>226</v>
      </c>
      <c r="C364" s="1">
        <v>1</v>
      </c>
      <c r="D364" s="1">
        <v>6190000</v>
      </c>
      <c r="E364" s="1">
        <v>-1</v>
      </c>
      <c r="F364" s="1">
        <v>0</v>
      </c>
      <c r="G364" s="1">
        <v>1</v>
      </c>
      <c r="H364" s="1"/>
      <c r="I364" s="1"/>
    </row>
    <row r="365" spans="1:9" x14ac:dyDescent="0.3">
      <c r="A365" t="s">
        <v>121</v>
      </c>
      <c r="B365" t="s">
        <v>372</v>
      </c>
      <c r="C365" s="1"/>
      <c r="D365" s="1">
        <v>4000000</v>
      </c>
      <c r="E365" s="1"/>
      <c r="F365" s="1"/>
      <c r="G365" s="1"/>
      <c r="H365" s="1"/>
      <c r="I365" s="1"/>
    </row>
    <row r="366" spans="1:9" x14ac:dyDescent="0.3">
      <c r="A366" t="s">
        <v>175</v>
      </c>
      <c r="B366" t="s">
        <v>373</v>
      </c>
      <c r="C366" s="1"/>
      <c r="D366" s="1">
        <v>1600000</v>
      </c>
      <c r="E366" s="1"/>
      <c r="F366" s="1"/>
      <c r="G366" s="1"/>
      <c r="H366" s="1"/>
      <c r="I366" s="1"/>
    </row>
    <row r="367" spans="1:9" x14ac:dyDescent="0.3">
      <c r="A367" t="s">
        <v>175</v>
      </c>
      <c r="B367" t="s">
        <v>216</v>
      </c>
      <c r="C367" s="1"/>
      <c r="D367" s="1">
        <v>1300000</v>
      </c>
      <c r="E367" s="1"/>
      <c r="F367" s="1">
        <v>1</v>
      </c>
      <c r="G367" s="1">
        <v>1</v>
      </c>
      <c r="H367" s="1"/>
      <c r="I367" s="1"/>
    </row>
    <row r="368" spans="1:9" x14ac:dyDescent="0.3">
      <c r="A368" t="s">
        <v>175</v>
      </c>
      <c r="B368" t="s">
        <v>216</v>
      </c>
      <c r="C368" s="1"/>
      <c r="D368" s="1">
        <v>2500000</v>
      </c>
      <c r="E368" s="1"/>
      <c r="F368" s="1"/>
      <c r="G368" s="1"/>
      <c r="H368" s="1"/>
      <c r="I368" s="1"/>
    </row>
    <row r="369" spans="1:9" x14ac:dyDescent="0.3">
      <c r="A369" t="s">
        <v>175</v>
      </c>
      <c r="B369" t="s">
        <v>374</v>
      </c>
      <c r="C369" s="1"/>
      <c r="D369" s="1">
        <v>1800000</v>
      </c>
      <c r="E369" s="1"/>
      <c r="F369" s="1"/>
      <c r="G369" s="1"/>
      <c r="H369" s="1"/>
      <c r="I369" s="1"/>
    </row>
    <row r="370" spans="1:9" x14ac:dyDescent="0.3">
      <c r="A370" t="s">
        <v>175</v>
      </c>
      <c r="B370" t="s">
        <v>375</v>
      </c>
      <c r="C370" s="1"/>
      <c r="D370" s="1">
        <v>1900000</v>
      </c>
      <c r="E370" s="1"/>
      <c r="F370" s="1"/>
      <c r="G370" s="1"/>
      <c r="H370" s="1"/>
      <c r="I370" s="1"/>
    </row>
    <row r="371" spans="1:9" x14ac:dyDescent="0.3">
      <c r="A371" t="s">
        <v>175</v>
      </c>
      <c r="B371" t="s">
        <v>376</v>
      </c>
      <c r="C371" s="1">
        <v>2</v>
      </c>
      <c r="D371" s="1">
        <v>3200000</v>
      </c>
      <c r="E371" s="1"/>
      <c r="F371" s="1"/>
      <c r="G371" s="1">
        <v>1</v>
      </c>
      <c r="H371" s="1"/>
      <c r="I371" s="1"/>
    </row>
    <row r="372" spans="1:9" x14ac:dyDescent="0.3">
      <c r="A372" t="s">
        <v>175</v>
      </c>
      <c r="B372" t="s">
        <v>32</v>
      </c>
      <c r="C372" s="1">
        <v>3</v>
      </c>
      <c r="D372" s="1">
        <v>2990000</v>
      </c>
      <c r="E372" s="1"/>
      <c r="F372" s="1"/>
      <c r="G372" s="1">
        <v>1</v>
      </c>
      <c r="H372" s="1"/>
      <c r="I372" s="1"/>
    </row>
    <row r="373" spans="1:9" x14ac:dyDescent="0.3">
      <c r="A373" t="s">
        <v>175</v>
      </c>
      <c r="B373" t="s">
        <v>155</v>
      </c>
      <c r="C373" s="1"/>
      <c r="D373" s="1">
        <v>2690000</v>
      </c>
      <c r="E373" s="1"/>
      <c r="F373" s="1"/>
      <c r="G373" s="1"/>
      <c r="H373" s="1"/>
      <c r="I373" s="1"/>
    </row>
    <row r="374" spans="1:9" x14ac:dyDescent="0.3">
      <c r="A374" t="s">
        <v>175</v>
      </c>
      <c r="B374" t="s">
        <v>128</v>
      </c>
      <c r="C374" s="1">
        <v>1</v>
      </c>
      <c r="D374" s="1">
        <v>3890000</v>
      </c>
      <c r="E374" s="1"/>
      <c r="F374" s="1"/>
      <c r="G374" s="1">
        <v>1</v>
      </c>
      <c r="H374" s="1"/>
      <c r="I374" s="1"/>
    </row>
    <row r="375" spans="1:9" x14ac:dyDescent="0.3">
      <c r="A375" t="s">
        <v>175</v>
      </c>
      <c r="B375" t="s">
        <v>377</v>
      </c>
      <c r="C375" s="1"/>
      <c r="D375" s="1">
        <v>3200000</v>
      </c>
      <c r="E375" s="1"/>
      <c r="F375" s="1"/>
      <c r="G375" s="1"/>
      <c r="H375" s="1"/>
      <c r="I375" s="1"/>
    </row>
    <row r="376" spans="1:9" x14ac:dyDescent="0.3">
      <c r="A376" t="s">
        <v>175</v>
      </c>
      <c r="B376" t="s">
        <v>55</v>
      </c>
      <c r="C376" s="1"/>
      <c r="D376" s="1">
        <v>2190000</v>
      </c>
      <c r="E376" s="1"/>
      <c r="F376" s="1"/>
      <c r="G376" s="1">
        <v>1</v>
      </c>
      <c r="H376" s="1"/>
      <c r="I376" s="1"/>
    </row>
    <row r="377" spans="1:9" x14ac:dyDescent="0.3">
      <c r="A377" t="s">
        <v>175</v>
      </c>
      <c r="B377" t="s">
        <v>227</v>
      </c>
      <c r="C377" s="1">
        <v>4</v>
      </c>
      <c r="D377" s="1">
        <v>6290000</v>
      </c>
      <c r="E377" s="1">
        <v>1</v>
      </c>
      <c r="F377" s="1">
        <v>1</v>
      </c>
      <c r="G377" s="1">
        <v>1</v>
      </c>
      <c r="H377" s="1"/>
      <c r="I377" s="1"/>
    </row>
    <row r="378" spans="1:9" x14ac:dyDescent="0.3">
      <c r="A378" t="s">
        <v>96</v>
      </c>
      <c r="B378" t="s">
        <v>378</v>
      </c>
      <c r="C378" s="1">
        <v>1</v>
      </c>
      <c r="D378" s="1">
        <v>890000</v>
      </c>
      <c r="E378" s="1"/>
      <c r="F378" s="1"/>
      <c r="G378" s="1"/>
      <c r="H378" s="1"/>
      <c r="I378" s="1"/>
    </row>
    <row r="379" spans="1:9" x14ac:dyDescent="0.3">
      <c r="A379" t="s">
        <v>96</v>
      </c>
      <c r="B379" t="s">
        <v>379</v>
      </c>
      <c r="C379" s="1"/>
      <c r="D379" s="1">
        <v>1800000</v>
      </c>
      <c r="E379" s="1"/>
      <c r="F379" s="1">
        <v>1</v>
      </c>
      <c r="G379" s="1">
        <v>1</v>
      </c>
      <c r="H379" s="1"/>
      <c r="I379" s="1"/>
    </row>
    <row r="380" spans="1:9" x14ac:dyDescent="0.3">
      <c r="A380" t="s">
        <v>96</v>
      </c>
      <c r="B380" t="s">
        <v>380</v>
      </c>
      <c r="C380" s="1"/>
      <c r="D380" s="1">
        <v>1300000</v>
      </c>
      <c r="E380" s="1"/>
      <c r="F380" s="1"/>
      <c r="G380" s="1">
        <v>1</v>
      </c>
      <c r="H380" s="1"/>
      <c r="I380" s="1"/>
    </row>
    <row r="381" spans="1:9" x14ac:dyDescent="0.3">
      <c r="A381" t="s">
        <v>96</v>
      </c>
      <c r="B381" t="s">
        <v>381</v>
      </c>
      <c r="C381" s="1"/>
      <c r="D381" s="1">
        <v>2000000</v>
      </c>
      <c r="E381" s="1"/>
      <c r="F381" s="1"/>
      <c r="G381" s="1"/>
      <c r="H381" s="1"/>
      <c r="I381" s="1"/>
    </row>
    <row r="382" spans="1:9" x14ac:dyDescent="0.3">
      <c r="A382" t="s">
        <v>96</v>
      </c>
      <c r="B382" t="s">
        <v>382</v>
      </c>
      <c r="C382" s="1"/>
      <c r="D382" s="1">
        <v>2000000</v>
      </c>
      <c r="E382" s="1"/>
      <c r="F382" s="1"/>
      <c r="G382" s="1"/>
      <c r="H382" s="1"/>
      <c r="I382" s="1"/>
    </row>
    <row r="383" spans="1:9" x14ac:dyDescent="0.3">
      <c r="A383" t="s">
        <v>96</v>
      </c>
      <c r="B383" t="s">
        <v>383</v>
      </c>
      <c r="C383" s="1"/>
      <c r="D383" s="1">
        <v>2700000</v>
      </c>
      <c r="E383" s="1"/>
      <c r="F383" s="1"/>
      <c r="G383" s="1">
        <v>1</v>
      </c>
      <c r="H383" s="1"/>
      <c r="I383" s="1"/>
    </row>
    <row r="384" spans="1:9" x14ac:dyDescent="0.3">
      <c r="A384" t="s">
        <v>96</v>
      </c>
      <c r="B384" t="s">
        <v>384</v>
      </c>
      <c r="C384" s="1"/>
      <c r="D384" s="1">
        <v>3200000</v>
      </c>
      <c r="E384" s="1"/>
      <c r="F384" s="1">
        <v>1</v>
      </c>
      <c r="G384" s="1">
        <v>1</v>
      </c>
      <c r="H384" s="1"/>
      <c r="I384" s="1"/>
    </row>
    <row r="385" spans="1:9" x14ac:dyDescent="0.3">
      <c r="A385" t="s">
        <v>96</v>
      </c>
      <c r="B385" t="s">
        <v>54</v>
      </c>
      <c r="C385" s="1">
        <v>4</v>
      </c>
      <c r="D385" s="1">
        <v>3600000</v>
      </c>
      <c r="E385" s="1"/>
      <c r="F385" s="1">
        <v>1</v>
      </c>
      <c r="G385" s="1">
        <v>1</v>
      </c>
      <c r="H385" s="1"/>
      <c r="I385" s="1"/>
    </row>
    <row r="386" spans="1:9" x14ac:dyDescent="0.3">
      <c r="A386" t="s">
        <v>96</v>
      </c>
      <c r="B386" t="s">
        <v>54</v>
      </c>
      <c r="C386" s="1">
        <v>3</v>
      </c>
      <c r="D386" s="1">
        <v>4390000</v>
      </c>
      <c r="E386" s="1"/>
      <c r="F386" s="1"/>
      <c r="G386" s="1"/>
      <c r="H386" s="1"/>
      <c r="I386" s="1"/>
    </row>
    <row r="387" spans="1:9" x14ac:dyDescent="0.3">
      <c r="A387" t="s">
        <v>96</v>
      </c>
      <c r="B387" t="s">
        <v>385</v>
      </c>
      <c r="C387" s="1"/>
      <c r="D387" s="1">
        <v>2800000</v>
      </c>
      <c r="E387" s="1"/>
      <c r="F387" s="1"/>
      <c r="G387" s="1">
        <v>1</v>
      </c>
      <c r="H387" s="1"/>
      <c r="I387" s="1"/>
    </row>
    <row r="388" spans="1:9" x14ac:dyDescent="0.3">
      <c r="A388" t="s">
        <v>96</v>
      </c>
      <c r="B388" t="s">
        <v>386</v>
      </c>
      <c r="C388" s="1"/>
      <c r="D388" s="1">
        <v>2000000</v>
      </c>
      <c r="E388" s="1"/>
      <c r="F388" s="1">
        <v>1</v>
      </c>
      <c r="G388" s="1">
        <v>1</v>
      </c>
      <c r="H388" s="1"/>
      <c r="I388" s="1"/>
    </row>
    <row r="389" spans="1:9" x14ac:dyDescent="0.3">
      <c r="A389" t="s">
        <v>96</v>
      </c>
      <c r="B389" t="s">
        <v>387</v>
      </c>
      <c r="C389" s="1"/>
      <c r="D389" s="1">
        <v>3200000</v>
      </c>
      <c r="E389" s="1"/>
      <c r="F389" s="1"/>
      <c r="G389" s="1"/>
      <c r="H389" s="1"/>
      <c r="I389" s="1"/>
    </row>
    <row r="390" spans="1:9" x14ac:dyDescent="0.3">
      <c r="A390" t="s">
        <v>96</v>
      </c>
      <c r="B390" t="s">
        <v>388</v>
      </c>
      <c r="C390" s="1"/>
      <c r="D390" s="1">
        <v>4000000</v>
      </c>
      <c r="E390" s="1"/>
      <c r="F390" s="1"/>
      <c r="G390" s="1"/>
      <c r="H390" s="1"/>
      <c r="I390" s="1"/>
    </row>
    <row r="391" spans="1:9" x14ac:dyDescent="0.3">
      <c r="A391" t="s">
        <v>96</v>
      </c>
      <c r="B391" t="s">
        <v>177</v>
      </c>
      <c r="C391" s="1"/>
      <c r="D391" s="1">
        <v>5000000</v>
      </c>
      <c r="E391" s="1"/>
      <c r="F391" s="1"/>
      <c r="G391" s="1">
        <v>0</v>
      </c>
      <c r="H391" s="1"/>
      <c r="I391" s="1"/>
    </row>
    <row r="392" spans="1:9" x14ac:dyDescent="0.3">
      <c r="A392" t="s">
        <v>96</v>
      </c>
      <c r="B392" t="s">
        <v>389</v>
      </c>
      <c r="C392" s="1"/>
      <c r="D392" s="1">
        <v>6390000</v>
      </c>
      <c r="E392" s="1"/>
      <c r="F392" s="1"/>
      <c r="G392" s="1">
        <v>1</v>
      </c>
      <c r="H392" s="1"/>
      <c r="I392" s="1"/>
    </row>
    <row r="393" spans="1:9" x14ac:dyDescent="0.3">
      <c r="A393" t="s">
        <v>96</v>
      </c>
      <c r="B393" t="s">
        <v>390</v>
      </c>
      <c r="C393" s="1"/>
      <c r="D393" s="1">
        <v>4500000</v>
      </c>
      <c r="E393" s="1"/>
      <c r="F393" s="1"/>
      <c r="G393" s="1"/>
      <c r="H393" s="1"/>
      <c r="I393" s="1"/>
    </row>
    <row r="394" spans="1:9" x14ac:dyDescent="0.3">
      <c r="A394" t="s">
        <v>96</v>
      </c>
      <c r="B394" t="s">
        <v>134</v>
      </c>
      <c r="C394" s="1"/>
      <c r="D394" s="1">
        <v>5500000</v>
      </c>
      <c r="E394" s="1"/>
      <c r="F394" s="1"/>
      <c r="G394" s="1"/>
      <c r="H394" s="1"/>
      <c r="I394" s="1"/>
    </row>
    <row r="395" spans="1:9" x14ac:dyDescent="0.3">
      <c r="A395" t="s">
        <v>96</v>
      </c>
      <c r="B395" t="s">
        <v>391</v>
      </c>
      <c r="C395" s="1"/>
      <c r="D395" s="1">
        <v>3200000</v>
      </c>
      <c r="E395" s="1"/>
      <c r="F395" s="1">
        <v>1</v>
      </c>
      <c r="G395" s="1">
        <v>1</v>
      </c>
      <c r="H395" s="1"/>
      <c r="I395" s="1"/>
    </row>
    <row r="396" spans="1:9" x14ac:dyDescent="0.3">
      <c r="A396" t="s">
        <v>96</v>
      </c>
      <c r="B396" t="s">
        <v>392</v>
      </c>
      <c r="C396" s="1">
        <v>1</v>
      </c>
      <c r="D396" s="1">
        <v>12000000</v>
      </c>
      <c r="E396" s="1"/>
      <c r="F396" s="1">
        <v>1</v>
      </c>
      <c r="G396" s="1">
        <v>1</v>
      </c>
      <c r="H396" s="1"/>
      <c r="I396" s="1">
        <v>2</v>
      </c>
    </row>
    <row r="397" spans="1:9" x14ac:dyDescent="0.3">
      <c r="A397" t="s">
        <v>96</v>
      </c>
      <c r="B397" t="s">
        <v>393</v>
      </c>
      <c r="C397" s="1"/>
      <c r="D397" s="1">
        <v>8800000</v>
      </c>
      <c r="E397" s="1"/>
      <c r="F397" s="1">
        <v>0</v>
      </c>
      <c r="G397" s="1">
        <v>1</v>
      </c>
      <c r="H397" s="1"/>
      <c r="I397" s="1"/>
    </row>
    <row r="398" spans="1:9" x14ac:dyDescent="0.3">
      <c r="A398" t="s">
        <v>96</v>
      </c>
      <c r="B398" t="s">
        <v>280</v>
      </c>
      <c r="C398" s="1">
        <v>2</v>
      </c>
      <c r="D398" s="1">
        <v>8800000</v>
      </c>
      <c r="E398" s="1"/>
      <c r="F398" s="1"/>
      <c r="G398" s="1"/>
      <c r="H398" s="1"/>
      <c r="I398" s="1"/>
    </row>
    <row r="399" spans="1:9" x14ac:dyDescent="0.3">
      <c r="A399" t="s">
        <v>96</v>
      </c>
      <c r="B399" t="s">
        <v>219</v>
      </c>
      <c r="C399" s="1">
        <v>1</v>
      </c>
      <c r="D399" s="1">
        <v>10000000</v>
      </c>
      <c r="E399" s="1"/>
      <c r="F399" s="1"/>
      <c r="G399" s="1"/>
      <c r="H399" s="1"/>
      <c r="I399" s="1"/>
    </row>
    <row r="400" spans="1:9" x14ac:dyDescent="0.3">
      <c r="A400" t="s">
        <v>96</v>
      </c>
      <c r="B400" t="s">
        <v>394</v>
      </c>
      <c r="C400" s="1"/>
      <c r="D400" s="1">
        <v>10500000</v>
      </c>
      <c r="E400" s="1"/>
      <c r="F400" s="1"/>
      <c r="G400" s="1"/>
      <c r="H400" s="1"/>
      <c r="I400" s="1"/>
    </row>
    <row r="401" spans="1:9" x14ac:dyDescent="0.3">
      <c r="A401" t="s">
        <v>96</v>
      </c>
      <c r="B401" t="s">
        <v>395</v>
      </c>
      <c r="C401" s="1">
        <v>1</v>
      </c>
      <c r="D401" s="1">
        <v>11500000</v>
      </c>
      <c r="E401" s="1"/>
      <c r="F401" s="1"/>
      <c r="G401" s="1">
        <v>1</v>
      </c>
      <c r="H401" s="1"/>
      <c r="I401" s="1"/>
    </row>
    <row r="402" spans="1:9" x14ac:dyDescent="0.3">
      <c r="A402" t="s">
        <v>96</v>
      </c>
      <c r="B402" t="s">
        <v>57</v>
      </c>
      <c r="C402" s="1">
        <v>4</v>
      </c>
      <c r="D402" s="1">
        <v>7990000</v>
      </c>
      <c r="E402" s="1"/>
      <c r="F402" s="1"/>
      <c r="G402" s="1">
        <v>1</v>
      </c>
      <c r="H402" s="1"/>
      <c r="I402" s="1"/>
    </row>
    <row r="403" spans="1:9" x14ac:dyDescent="0.3">
      <c r="A403" t="s">
        <v>96</v>
      </c>
      <c r="B403" t="s">
        <v>396</v>
      </c>
      <c r="C403" s="1"/>
      <c r="D403" s="1">
        <v>6800000</v>
      </c>
      <c r="E403" s="1"/>
      <c r="F403" s="1"/>
      <c r="G403" s="1"/>
      <c r="H403" s="1"/>
      <c r="I403" s="1"/>
    </row>
    <row r="404" spans="1:9" x14ac:dyDescent="0.3">
      <c r="A404" t="s">
        <v>96</v>
      </c>
      <c r="B404" t="s">
        <v>71</v>
      </c>
      <c r="C404" s="1">
        <v>2</v>
      </c>
      <c r="D404" s="1">
        <v>4500000</v>
      </c>
      <c r="E404" s="1"/>
      <c r="F404" s="1">
        <v>1</v>
      </c>
      <c r="G404" s="1">
        <v>1</v>
      </c>
      <c r="H404" s="1"/>
      <c r="I404" s="1"/>
    </row>
    <row r="405" spans="1:9" x14ac:dyDescent="0.3">
      <c r="A405" t="s">
        <v>96</v>
      </c>
      <c r="B405" t="s">
        <v>397</v>
      </c>
      <c r="C405" s="1"/>
      <c r="D405" s="1">
        <v>6900000</v>
      </c>
      <c r="E405" s="1"/>
      <c r="F405" s="1"/>
      <c r="G405" s="1">
        <v>1</v>
      </c>
      <c r="H405" s="1"/>
      <c r="I405" s="1"/>
    </row>
    <row r="406" spans="1:9" x14ac:dyDescent="0.3">
      <c r="A406" t="s">
        <v>96</v>
      </c>
      <c r="B406" t="s">
        <v>398</v>
      </c>
      <c r="C406" s="1"/>
      <c r="D406" s="1">
        <v>2500000</v>
      </c>
      <c r="E406" s="1"/>
      <c r="F406" s="1"/>
      <c r="G406" s="1"/>
      <c r="H406" s="1"/>
      <c r="I406" s="1"/>
    </row>
    <row r="407" spans="1:9" x14ac:dyDescent="0.3">
      <c r="A407" t="s">
        <v>96</v>
      </c>
      <c r="B407" t="s">
        <v>399</v>
      </c>
      <c r="C407" s="1">
        <v>7</v>
      </c>
      <c r="D407" s="1">
        <v>2690000</v>
      </c>
      <c r="E407" s="1"/>
      <c r="F407" s="1"/>
      <c r="G407" s="1"/>
      <c r="H407" s="1"/>
      <c r="I407" s="1"/>
    </row>
    <row r="408" spans="1:9" x14ac:dyDescent="0.3">
      <c r="A408" t="s">
        <v>98</v>
      </c>
      <c r="B408" t="s">
        <v>400</v>
      </c>
      <c r="C408" s="1"/>
      <c r="D408" s="1"/>
      <c r="E408" s="1"/>
      <c r="F408" s="1"/>
      <c r="G408" s="1"/>
      <c r="H408" s="1"/>
      <c r="I408" s="1"/>
    </row>
    <row r="409" spans="1:9" x14ac:dyDescent="0.3">
      <c r="A409" t="s">
        <v>98</v>
      </c>
      <c r="B409" t="s">
        <v>401</v>
      </c>
      <c r="C409" s="1"/>
      <c r="D409" s="1">
        <v>2000000</v>
      </c>
      <c r="E409" s="1"/>
      <c r="F409" s="1"/>
      <c r="G409" s="1"/>
      <c r="H409" s="1"/>
      <c r="I409" s="1"/>
    </row>
    <row r="410" spans="1:9" x14ac:dyDescent="0.3">
      <c r="A410" t="s">
        <v>98</v>
      </c>
      <c r="B410" t="s">
        <v>357</v>
      </c>
      <c r="C410" s="1">
        <v>1</v>
      </c>
      <c r="D410" s="1">
        <v>750000</v>
      </c>
      <c r="E410" s="1"/>
      <c r="F410" s="1"/>
      <c r="G410" s="1"/>
      <c r="H410" s="1"/>
      <c r="I410" s="1"/>
    </row>
    <row r="411" spans="1:9" x14ac:dyDescent="0.3">
      <c r="A411" t="s">
        <v>98</v>
      </c>
      <c r="B411" t="s">
        <v>402</v>
      </c>
      <c r="C411" s="1"/>
      <c r="D411" s="1">
        <v>1200000</v>
      </c>
      <c r="E411" s="1"/>
      <c r="F411" s="1"/>
      <c r="G411" s="1">
        <v>1</v>
      </c>
      <c r="H411" s="1"/>
      <c r="I411" s="1"/>
    </row>
    <row r="412" spans="1:9" x14ac:dyDescent="0.3">
      <c r="A412" t="s">
        <v>98</v>
      </c>
      <c r="B412" t="s">
        <v>403</v>
      </c>
      <c r="C412" s="1"/>
      <c r="D412" s="1">
        <v>1400000</v>
      </c>
      <c r="E412" s="1"/>
      <c r="F412" s="1">
        <v>1</v>
      </c>
      <c r="G412" s="1">
        <v>1</v>
      </c>
      <c r="H412" s="1"/>
      <c r="I412" s="1"/>
    </row>
    <row r="413" spans="1:9" x14ac:dyDescent="0.3">
      <c r="A413" t="s">
        <v>142</v>
      </c>
      <c r="B413" t="s">
        <v>404</v>
      </c>
      <c r="C413" s="1"/>
      <c r="D413" s="1">
        <v>2400000</v>
      </c>
      <c r="E413" s="1"/>
      <c r="F413" s="1"/>
      <c r="G413" s="1"/>
      <c r="H413" s="1"/>
      <c r="I413" s="1"/>
    </row>
    <row r="414" spans="1:9" x14ac:dyDescent="0.3">
      <c r="A414" t="s">
        <v>142</v>
      </c>
      <c r="B414" t="s">
        <v>405</v>
      </c>
      <c r="C414" s="1">
        <v>1</v>
      </c>
      <c r="D414" s="1">
        <v>3990000</v>
      </c>
      <c r="E414" s="1"/>
      <c r="F414" s="1"/>
      <c r="G414" s="1"/>
      <c r="H414" s="1"/>
      <c r="I414" s="1"/>
    </row>
    <row r="415" spans="1:9" x14ac:dyDescent="0.3">
      <c r="A415" t="s">
        <v>142</v>
      </c>
      <c r="B415" t="s">
        <v>406</v>
      </c>
      <c r="C415" s="1"/>
      <c r="D415" s="1">
        <v>8600000</v>
      </c>
      <c r="E415" s="1"/>
      <c r="F415" s="1"/>
      <c r="G415" s="1"/>
      <c r="H415" s="1"/>
      <c r="I415" s="1"/>
    </row>
    <row r="416" spans="1:9" x14ac:dyDescent="0.3">
      <c r="A416" t="s">
        <v>142</v>
      </c>
      <c r="B416" t="s">
        <v>407</v>
      </c>
      <c r="C416" s="1"/>
      <c r="D416" s="1">
        <v>2500000</v>
      </c>
      <c r="E416" s="1"/>
      <c r="F416" s="1"/>
      <c r="G416" s="1"/>
      <c r="H416" s="1"/>
      <c r="I416" s="1"/>
    </row>
    <row r="417" spans="1:9" x14ac:dyDescent="0.3">
      <c r="A417" t="s">
        <v>142</v>
      </c>
      <c r="B417" t="s">
        <v>407</v>
      </c>
      <c r="C417" s="1"/>
      <c r="D417" s="1">
        <v>1500000</v>
      </c>
      <c r="E417" s="1"/>
      <c r="F417" s="1">
        <v>1</v>
      </c>
      <c r="G417" s="1">
        <v>1</v>
      </c>
      <c r="H417" s="1"/>
      <c r="I417" s="1"/>
    </row>
    <row r="418" spans="1:9" x14ac:dyDescent="0.3">
      <c r="A418" t="s">
        <v>142</v>
      </c>
      <c r="B418" t="s">
        <v>181</v>
      </c>
      <c r="C418" s="1"/>
      <c r="D418" s="1">
        <v>9500000</v>
      </c>
      <c r="E418" s="1">
        <v>1</v>
      </c>
      <c r="F418" s="1">
        <v>1</v>
      </c>
      <c r="G418" s="1">
        <v>1</v>
      </c>
      <c r="H418" s="1"/>
      <c r="I418" s="1"/>
    </row>
    <row r="419" spans="1:9" x14ac:dyDescent="0.3">
      <c r="A419" t="s">
        <v>142</v>
      </c>
      <c r="B419" t="s">
        <v>408</v>
      </c>
      <c r="C419" s="1">
        <v>2</v>
      </c>
      <c r="D419" s="1">
        <v>10000000</v>
      </c>
      <c r="E419" s="1"/>
      <c r="F419" s="1"/>
      <c r="G419" s="1">
        <v>1</v>
      </c>
      <c r="H419" s="1"/>
      <c r="I419" s="1"/>
    </row>
    <row r="420" spans="1:9" x14ac:dyDescent="0.3">
      <c r="A420" t="s">
        <v>142</v>
      </c>
      <c r="B420" t="s">
        <v>409</v>
      </c>
      <c r="C420" s="1"/>
      <c r="D420" s="1">
        <v>6590000</v>
      </c>
      <c r="E420" s="1"/>
      <c r="F420" s="1"/>
      <c r="G420" s="1">
        <v>1</v>
      </c>
      <c r="H420" s="1"/>
      <c r="I420" s="1"/>
    </row>
    <row r="421" spans="1:9" x14ac:dyDescent="0.3">
      <c r="A421" t="s">
        <v>142</v>
      </c>
      <c r="B421" t="s">
        <v>410</v>
      </c>
      <c r="C421" s="1"/>
      <c r="D421" s="1">
        <v>1200000</v>
      </c>
      <c r="E421" s="1"/>
      <c r="F421" s="1"/>
      <c r="G421" s="1"/>
      <c r="H421" s="1"/>
      <c r="I421" s="1"/>
    </row>
    <row r="422" spans="1:9" x14ac:dyDescent="0.3">
      <c r="A422" t="s">
        <v>142</v>
      </c>
      <c r="B422" t="s">
        <v>411</v>
      </c>
      <c r="C422" s="1"/>
      <c r="D422" s="1">
        <v>1600000</v>
      </c>
      <c r="E422" s="1"/>
      <c r="F422" s="1"/>
      <c r="G422" s="1"/>
      <c r="H422" s="1"/>
      <c r="I422" s="1"/>
    </row>
    <row r="423" spans="1:9" x14ac:dyDescent="0.3">
      <c r="A423" t="s">
        <v>142</v>
      </c>
      <c r="B423" t="s">
        <v>412</v>
      </c>
      <c r="C423" s="1"/>
      <c r="D423" s="1">
        <v>2000000</v>
      </c>
      <c r="E423" s="1"/>
      <c r="F423" s="1">
        <v>1</v>
      </c>
      <c r="G423" s="1">
        <v>1</v>
      </c>
      <c r="H423" s="1"/>
      <c r="I423" s="1"/>
    </row>
    <row r="424" spans="1:9" x14ac:dyDescent="0.3">
      <c r="A424" t="s">
        <v>142</v>
      </c>
      <c r="B424" t="s">
        <v>413</v>
      </c>
      <c r="C424" s="1"/>
      <c r="D424" s="1">
        <v>1500000</v>
      </c>
      <c r="E424" s="1"/>
      <c r="F424" s="1"/>
      <c r="G424" s="1"/>
      <c r="H424" s="1"/>
      <c r="I424" s="1"/>
    </row>
    <row r="425" spans="1:9" x14ac:dyDescent="0.3">
      <c r="A425" t="s">
        <v>142</v>
      </c>
      <c r="B425" t="s">
        <v>51</v>
      </c>
      <c r="C425" s="1">
        <v>1</v>
      </c>
      <c r="D425" s="1">
        <v>3250000</v>
      </c>
      <c r="E425" s="1"/>
      <c r="F425" s="1"/>
      <c r="G425" s="1"/>
      <c r="H425" s="1"/>
      <c r="I425" s="1"/>
    </row>
    <row r="426" spans="1:9" x14ac:dyDescent="0.3">
      <c r="A426" t="s">
        <v>142</v>
      </c>
      <c r="B426" t="s">
        <v>414</v>
      </c>
      <c r="C426" s="1"/>
      <c r="D426" s="1">
        <v>3890000</v>
      </c>
      <c r="E426" s="1">
        <v>1</v>
      </c>
      <c r="F426" s="1">
        <v>1</v>
      </c>
      <c r="G426" s="1">
        <v>1</v>
      </c>
      <c r="H426" s="1"/>
      <c r="I426" s="1"/>
    </row>
    <row r="427" spans="1:9" x14ac:dyDescent="0.3">
      <c r="A427" t="s">
        <v>142</v>
      </c>
      <c r="B427" t="s">
        <v>415</v>
      </c>
      <c r="C427" s="1"/>
      <c r="D427" s="1">
        <v>2500000</v>
      </c>
      <c r="E427" s="1"/>
      <c r="F427" s="1"/>
      <c r="G427" s="1"/>
      <c r="H427" s="1"/>
      <c r="I427" s="1"/>
    </row>
    <row r="428" spans="1:9" x14ac:dyDescent="0.3">
      <c r="A428" t="s">
        <v>142</v>
      </c>
      <c r="B428" t="s">
        <v>416</v>
      </c>
      <c r="C428" s="1"/>
      <c r="D428" s="1">
        <v>3500000</v>
      </c>
      <c r="E428" s="1"/>
      <c r="F428" s="1"/>
      <c r="G428" s="1">
        <v>1</v>
      </c>
      <c r="H428" s="1"/>
      <c r="I428" s="1"/>
    </row>
    <row r="429" spans="1:9" x14ac:dyDescent="0.3">
      <c r="A429" t="s">
        <v>142</v>
      </c>
      <c r="B429" t="s">
        <v>52</v>
      </c>
      <c r="C429" s="1">
        <v>3</v>
      </c>
      <c r="D429" s="1">
        <v>5100000</v>
      </c>
      <c r="E429" s="1"/>
      <c r="F429" s="1"/>
      <c r="G429" s="1">
        <v>1</v>
      </c>
      <c r="H429" s="1"/>
      <c r="I429" s="1"/>
    </row>
    <row r="430" spans="1:9" x14ac:dyDescent="0.3">
      <c r="A430" t="s">
        <v>156</v>
      </c>
      <c r="B430" t="s">
        <v>417</v>
      </c>
      <c r="C430" s="1">
        <v>2</v>
      </c>
      <c r="D430" s="1">
        <v>6500000</v>
      </c>
      <c r="E430" s="1"/>
      <c r="F430" s="1"/>
      <c r="G430" s="1">
        <v>-1</v>
      </c>
      <c r="H430" s="1"/>
      <c r="I430" s="1"/>
    </row>
    <row r="431" spans="1:9" x14ac:dyDescent="0.3">
      <c r="A431" t="s">
        <v>156</v>
      </c>
      <c r="B431" t="s">
        <v>77</v>
      </c>
      <c r="C431" s="1">
        <v>3</v>
      </c>
      <c r="D431" s="1">
        <v>12500000</v>
      </c>
      <c r="E431" s="1"/>
      <c r="F431" s="1"/>
      <c r="G431" s="1">
        <v>0</v>
      </c>
      <c r="H431" s="1"/>
      <c r="I431" s="1"/>
    </row>
    <row r="432" spans="1:9" x14ac:dyDescent="0.3">
      <c r="A432" t="s">
        <v>93</v>
      </c>
      <c r="B432" t="s">
        <v>418</v>
      </c>
      <c r="C432" s="1">
        <v>1</v>
      </c>
      <c r="D432" s="1">
        <v>7000000</v>
      </c>
      <c r="E432" s="1"/>
      <c r="F432" s="1"/>
      <c r="G432" s="1"/>
      <c r="H432" s="1"/>
      <c r="I432" s="1"/>
    </row>
    <row r="433" spans="1:9" x14ac:dyDescent="0.3">
      <c r="A433" t="s">
        <v>10</v>
      </c>
      <c r="B433" t="s">
        <v>419</v>
      </c>
      <c r="C433" s="1"/>
      <c r="D433" s="1"/>
      <c r="E433" s="1"/>
      <c r="F433" s="1"/>
      <c r="G433" s="1">
        <v>-1</v>
      </c>
      <c r="H433" s="1"/>
      <c r="I433" s="1"/>
    </row>
    <row r="434" spans="1:9" x14ac:dyDescent="0.3">
      <c r="A434" t="s">
        <v>10</v>
      </c>
      <c r="B434" t="s">
        <v>420</v>
      </c>
      <c r="C434" s="1"/>
      <c r="D434" s="1"/>
      <c r="E434" s="1"/>
      <c r="F434" s="1"/>
      <c r="G434" s="1"/>
      <c r="H434" s="1"/>
      <c r="I434" s="1"/>
    </row>
    <row r="435" spans="1:9" x14ac:dyDescent="0.3">
      <c r="A435" t="s">
        <v>10</v>
      </c>
      <c r="B435" t="s">
        <v>421</v>
      </c>
      <c r="C435" s="1"/>
      <c r="D435" s="1"/>
      <c r="E435" s="1"/>
      <c r="F435" s="1">
        <v>1</v>
      </c>
      <c r="G435" s="1">
        <v>0</v>
      </c>
      <c r="H435" s="1"/>
      <c r="I435" s="1"/>
    </row>
    <row r="436" spans="1:9" x14ac:dyDescent="0.3">
      <c r="A436" t="s">
        <v>10</v>
      </c>
      <c r="B436" t="s">
        <v>422</v>
      </c>
      <c r="C436" s="1">
        <v>2</v>
      </c>
      <c r="D436" s="1">
        <v>5000000</v>
      </c>
      <c r="E436" s="1"/>
      <c r="F436" s="1"/>
      <c r="G436" s="1"/>
      <c r="H436" s="1"/>
      <c r="I436" s="1"/>
    </row>
    <row r="437" spans="1:9" x14ac:dyDescent="0.3">
      <c r="A437" t="s">
        <v>10</v>
      </c>
      <c r="B437" t="s">
        <v>423</v>
      </c>
      <c r="C437" s="1">
        <v>1</v>
      </c>
      <c r="D437" s="1">
        <v>3800000</v>
      </c>
      <c r="E437" s="1"/>
      <c r="F437" s="1"/>
      <c r="G437" s="1">
        <v>0</v>
      </c>
      <c r="H437" s="1"/>
      <c r="I437" s="1"/>
    </row>
    <row r="438" spans="1:9" x14ac:dyDescent="0.3">
      <c r="A438" t="s">
        <v>10</v>
      </c>
      <c r="B438" t="s">
        <v>424</v>
      </c>
      <c r="C438" s="1"/>
      <c r="D438" s="1"/>
      <c r="E438" s="1"/>
      <c r="F438" s="1"/>
      <c r="G438" s="1"/>
      <c r="H438" s="1"/>
      <c r="I438" s="1"/>
    </row>
    <row r="439" spans="1:9" x14ac:dyDescent="0.3">
      <c r="A439" t="s">
        <v>10</v>
      </c>
      <c r="B439" t="s">
        <v>425</v>
      </c>
      <c r="C439" s="1"/>
      <c r="D439" s="1">
        <v>6600000</v>
      </c>
      <c r="E439" s="1">
        <v>-1</v>
      </c>
      <c r="F439" s="1">
        <v>0</v>
      </c>
      <c r="G439" s="1">
        <v>0</v>
      </c>
      <c r="H439" s="1"/>
      <c r="I439" s="1"/>
    </row>
    <row r="440" spans="1:9" x14ac:dyDescent="0.3">
      <c r="A440" t="s">
        <v>264</v>
      </c>
      <c r="B440" t="s">
        <v>426</v>
      </c>
      <c r="C440" s="1"/>
      <c r="D440" s="1">
        <v>17000000</v>
      </c>
      <c r="E440" s="1"/>
      <c r="F440" s="1">
        <v>0</v>
      </c>
      <c r="G440" s="1">
        <v>0</v>
      </c>
      <c r="H440" s="1"/>
      <c r="I440" s="1"/>
    </row>
    <row r="441" spans="1:9" x14ac:dyDescent="0.3">
      <c r="A441" t="s">
        <v>125</v>
      </c>
      <c r="B441" t="s">
        <v>270</v>
      </c>
      <c r="C441" s="1">
        <v>2</v>
      </c>
      <c r="D441" s="1">
        <v>4200000</v>
      </c>
      <c r="E441" s="1"/>
      <c r="F441" s="1"/>
      <c r="G441" s="1"/>
      <c r="H441" s="1"/>
      <c r="I441" s="1"/>
    </row>
    <row r="442" spans="1:9" x14ac:dyDescent="0.3">
      <c r="A442" t="s">
        <v>121</v>
      </c>
      <c r="B442" t="s">
        <v>27</v>
      </c>
      <c r="C442" s="1">
        <v>3</v>
      </c>
      <c r="D442" s="1">
        <v>3690000</v>
      </c>
      <c r="E442" s="1"/>
      <c r="F442" s="1"/>
      <c r="G442" s="1">
        <v>0</v>
      </c>
      <c r="H442" s="1"/>
      <c r="I442" s="1"/>
    </row>
    <row r="443" spans="1:9" x14ac:dyDescent="0.3">
      <c r="A443" t="s">
        <v>121</v>
      </c>
      <c r="B443" t="s">
        <v>427</v>
      </c>
      <c r="C443" s="1">
        <v>4</v>
      </c>
      <c r="D443" s="1">
        <v>4590000</v>
      </c>
      <c r="E443" s="1"/>
      <c r="F443" s="1"/>
      <c r="G443" s="1"/>
      <c r="H443" s="1"/>
      <c r="I443" s="1"/>
    </row>
    <row r="444" spans="1:9" x14ac:dyDescent="0.3">
      <c r="A444" t="s">
        <v>98</v>
      </c>
      <c r="B444" t="s">
        <v>428</v>
      </c>
      <c r="C444" s="1">
        <v>1</v>
      </c>
      <c r="D444" s="1">
        <v>1290000</v>
      </c>
      <c r="E444" s="1"/>
      <c r="F444" s="1">
        <v>1</v>
      </c>
      <c r="G444" s="1">
        <v>1</v>
      </c>
      <c r="H444" s="1"/>
      <c r="I444" s="1"/>
    </row>
    <row r="445" spans="1:9" x14ac:dyDescent="0.3">
      <c r="A445" t="s">
        <v>142</v>
      </c>
      <c r="B445" t="s">
        <v>429</v>
      </c>
      <c r="C445" s="1">
        <v>1</v>
      </c>
      <c r="D445" s="1">
        <v>2000000</v>
      </c>
      <c r="E445" s="1"/>
      <c r="F445" s="1">
        <v>-1</v>
      </c>
      <c r="G445" s="1">
        <v>-1</v>
      </c>
      <c r="H445" s="1"/>
      <c r="I445" s="1"/>
    </row>
    <row r="446" spans="1:9" x14ac:dyDescent="0.3">
      <c r="A446" t="s">
        <v>156</v>
      </c>
      <c r="B446" t="s">
        <v>432</v>
      </c>
      <c r="C446" s="1"/>
      <c r="D446" s="1">
        <v>4800000</v>
      </c>
      <c r="E446" s="1"/>
      <c r="F446" s="1"/>
      <c r="G446" s="1"/>
      <c r="H446" s="1"/>
      <c r="I446" s="1"/>
    </row>
    <row r="447" spans="1:9" x14ac:dyDescent="0.3">
      <c r="A447" t="s">
        <v>156</v>
      </c>
      <c r="B447" t="s">
        <v>433</v>
      </c>
      <c r="C447" s="1"/>
      <c r="D447" s="1">
        <v>4100000</v>
      </c>
      <c r="E447" s="1"/>
      <c r="F447" s="1"/>
      <c r="G447" s="1"/>
      <c r="H447" s="1"/>
      <c r="I447" s="1"/>
    </row>
    <row r="448" spans="1:9" x14ac:dyDescent="0.3">
      <c r="A448" t="s">
        <v>156</v>
      </c>
      <c r="B448" t="s">
        <v>434</v>
      </c>
      <c r="C448" s="1"/>
      <c r="D448" s="1">
        <v>5200000</v>
      </c>
      <c r="E448" s="1"/>
      <c r="F448" s="1"/>
      <c r="G448" s="1"/>
      <c r="H448" s="1"/>
      <c r="I448" s="1"/>
    </row>
    <row r="449" spans="1:9" x14ac:dyDescent="0.3">
      <c r="A449" t="s">
        <v>156</v>
      </c>
      <c r="B449" t="s">
        <v>435</v>
      </c>
      <c r="C449" s="1"/>
      <c r="D449" s="1">
        <v>5200000</v>
      </c>
      <c r="E449" s="1"/>
      <c r="F449" s="1"/>
      <c r="G449" s="1"/>
      <c r="H449" s="1"/>
      <c r="I449" s="1"/>
    </row>
    <row r="450" spans="1:9" x14ac:dyDescent="0.3">
      <c r="A450" t="s">
        <v>156</v>
      </c>
      <c r="B450" t="s">
        <v>436</v>
      </c>
      <c r="C450" s="1"/>
      <c r="D450" s="1">
        <v>7000000</v>
      </c>
      <c r="E450" s="1"/>
      <c r="F450" s="1"/>
      <c r="G450" s="1"/>
      <c r="H450" s="1"/>
      <c r="I450" s="1"/>
    </row>
    <row r="451" spans="1:9" x14ac:dyDescent="0.3">
      <c r="A451" t="s">
        <v>156</v>
      </c>
      <c r="B451" t="s">
        <v>437</v>
      </c>
      <c r="C451" s="1"/>
      <c r="D451" s="1">
        <v>6600000</v>
      </c>
      <c r="E451" s="1"/>
      <c r="F451" s="1"/>
      <c r="G451" s="1"/>
      <c r="H451" s="1"/>
      <c r="I451" s="1"/>
    </row>
    <row r="452" spans="1:9" x14ac:dyDescent="0.3">
      <c r="A452" t="s">
        <v>156</v>
      </c>
      <c r="B452" t="s">
        <v>228</v>
      </c>
      <c r="C452" s="1">
        <v>1</v>
      </c>
      <c r="D452" s="1">
        <v>5400000</v>
      </c>
      <c r="E452" s="1"/>
      <c r="F452" s="1"/>
      <c r="G452" s="1"/>
      <c r="H452" s="1"/>
      <c r="I452" s="1"/>
    </row>
    <row r="453" spans="1:9" x14ac:dyDescent="0.3">
      <c r="A453" t="s">
        <v>156</v>
      </c>
      <c r="B453" t="s">
        <v>289</v>
      </c>
      <c r="C453" s="1">
        <v>1</v>
      </c>
      <c r="D453" s="1">
        <v>4400000</v>
      </c>
      <c r="E453" s="1"/>
      <c r="F453" s="1"/>
      <c r="G453" s="1"/>
      <c r="H453" s="1"/>
      <c r="I453" s="1"/>
    </row>
    <row r="454" spans="1:9" x14ac:dyDescent="0.3">
      <c r="A454" t="s">
        <v>156</v>
      </c>
      <c r="B454" t="s">
        <v>290</v>
      </c>
      <c r="C454" s="1"/>
      <c r="D454" s="1">
        <v>5000000</v>
      </c>
      <c r="E454" s="1"/>
      <c r="F454" s="1"/>
      <c r="G454" s="1"/>
      <c r="H454" s="1"/>
      <c r="I454" s="1"/>
    </row>
    <row r="455" spans="1:9" x14ac:dyDescent="0.3">
      <c r="A455" t="s">
        <v>156</v>
      </c>
      <c r="B455" t="s">
        <v>290</v>
      </c>
      <c r="C455" s="1"/>
      <c r="D455" s="1">
        <v>3600000</v>
      </c>
      <c r="E455" s="1"/>
      <c r="F455" s="1"/>
      <c r="G455" s="1"/>
      <c r="H455" s="1"/>
      <c r="I455" s="1"/>
    </row>
    <row r="456" spans="1:9" x14ac:dyDescent="0.3">
      <c r="A456" t="s">
        <v>156</v>
      </c>
      <c r="B456" t="s">
        <v>438</v>
      </c>
      <c r="C456" s="1"/>
      <c r="D456" s="1">
        <v>4600000</v>
      </c>
      <c r="E456" s="1"/>
      <c r="F456" s="1"/>
      <c r="G456" s="1"/>
      <c r="H456" s="1"/>
      <c r="I456" s="1"/>
    </row>
    <row r="457" spans="1:9" x14ac:dyDescent="0.3">
      <c r="A457" t="s">
        <v>156</v>
      </c>
      <c r="B457" t="s">
        <v>167</v>
      </c>
      <c r="C457" s="1">
        <v>1</v>
      </c>
      <c r="D457" s="1">
        <v>4800000</v>
      </c>
      <c r="E457" s="1"/>
      <c r="F457" s="1"/>
      <c r="G457" s="1"/>
      <c r="H457" s="1"/>
      <c r="I457" s="1"/>
    </row>
    <row r="458" spans="1:9" x14ac:dyDescent="0.3">
      <c r="A458" t="s">
        <v>156</v>
      </c>
      <c r="B458" t="s">
        <v>439</v>
      </c>
      <c r="C458" s="1">
        <v>1</v>
      </c>
      <c r="D458" s="1">
        <v>5000000</v>
      </c>
      <c r="E458" s="1"/>
      <c r="F458" s="1"/>
      <c r="G458" s="1"/>
      <c r="H458" s="1"/>
      <c r="I458" s="1"/>
    </row>
    <row r="459" spans="1:9" x14ac:dyDescent="0.3">
      <c r="A459" t="s">
        <v>156</v>
      </c>
      <c r="B459" t="s">
        <v>440</v>
      </c>
      <c r="C459" s="1"/>
      <c r="D459" s="1">
        <v>7000000</v>
      </c>
      <c r="E459" s="1"/>
      <c r="F459" s="1"/>
      <c r="G459" s="1"/>
      <c r="H459" s="1"/>
      <c r="I459" s="1"/>
    </row>
    <row r="460" spans="1:9" x14ac:dyDescent="0.3">
      <c r="A460" t="s">
        <v>156</v>
      </c>
      <c r="B460" t="s">
        <v>440</v>
      </c>
      <c r="C460" s="1">
        <v>1</v>
      </c>
      <c r="D460" s="1">
        <v>6600000</v>
      </c>
      <c r="E460" s="1"/>
      <c r="F460" s="1"/>
      <c r="G460" s="1"/>
      <c r="H460" s="1"/>
      <c r="I460" s="1"/>
    </row>
    <row r="461" spans="1:9" x14ac:dyDescent="0.3">
      <c r="A461" t="s">
        <v>156</v>
      </c>
      <c r="B461" t="s">
        <v>441</v>
      </c>
      <c r="C461" s="1">
        <v>1</v>
      </c>
      <c r="D461" s="1">
        <v>6100000</v>
      </c>
      <c r="E461" s="1"/>
      <c r="F461" s="1"/>
      <c r="G461" s="1"/>
      <c r="H461" s="1"/>
      <c r="I461" s="1"/>
    </row>
    <row r="462" spans="1:9" x14ac:dyDescent="0.3">
      <c r="A462" t="s">
        <v>156</v>
      </c>
      <c r="B462" t="s">
        <v>417</v>
      </c>
      <c r="C462" s="1"/>
      <c r="D462" s="1">
        <v>5700000</v>
      </c>
      <c r="E462" s="1"/>
      <c r="F462" s="1"/>
      <c r="G462" s="1"/>
      <c r="H462" s="1"/>
      <c r="I462" s="1"/>
    </row>
    <row r="463" spans="1:9" x14ac:dyDescent="0.3">
      <c r="A463" t="s">
        <v>156</v>
      </c>
      <c r="B463" t="s">
        <v>417</v>
      </c>
      <c r="C463" s="1">
        <v>4</v>
      </c>
      <c r="D463" s="1">
        <v>6100000</v>
      </c>
      <c r="E463" s="1"/>
      <c r="F463" s="1"/>
      <c r="G463" s="1"/>
      <c r="H463" s="1"/>
      <c r="I463" s="1"/>
    </row>
    <row r="464" spans="1:9" x14ac:dyDescent="0.3">
      <c r="A464" t="s">
        <v>156</v>
      </c>
      <c r="B464" t="s">
        <v>442</v>
      </c>
      <c r="C464" s="1">
        <v>1</v>
      </c>
      <c r="D464" s="1">
        <v>6500000</v>
      </c>
      <c r="E464" s="1"/>
      <c r="F464" s="1"/>
      <c r="G464" s="1"/>
      <c r="H464" s="1"/>
      <c r="I464" s="1"/>
    </row>
    <row r="465" spans="1:9" x14ac:dyDescent="0.3">
      <c r="A465" t="s">
        <v>156</v>
      </c>
      <c r="B465" t="s">
        <v>442</v>
      </c>
      <c r="C465" s="1">
        <v>3</v>
      </c>
      <c r="D465" s="1">
        <v>6100000</v>
      </c>
      <c r="E465" s="1"/>
      <c r="F465" s="1"/>
      <c r="G465" s="1"/>
      <c r="H465" s="1"/>
      <c r="I465" s="1"/>
    </row>
    <row r="466" spans="1:9" x14ac:dyDescent="0.3">
      <c r="A466" t="s">
        <v>156</v>
      </c>
      <c r="B466" t="s">
        <v>443</v>
      </c>
      <c r="C466" s="1">
        <v>1</v>
      </c>
      <c r="D466" s="1">
        <v>6600000</v>
      </c>
      <c r="E466" s="1"/>
      <c r="F466" s="1"/>
      <c r="G466" s="1"/>
      <c r="H466" s="1"/>
      <c r="I466" s="1"/>
    </row>
    <row r="467" spans="1:9" x14ac:dyDescent="0.3">
      <c r="A467" t="s">
        <v>156</v>
      </c>
      <c r="B467" t="s">
        <v>444</v>
      </c>
      <c r="C467" s="1">
        <v>3</v>
      </c>
      <c r="D467" s="1">
        <v>7000000</v>
      </c>
      <c r="E467" s="1"/>
      <c r="F467" s="1"/>
      <c r="G467" s="1"/>
      <c r="H467" s="1"/>
      <c r="I467" s="1"/>
    </row>
    <row r="468" spans="1:9" x14ac:dyDescent="0.3">
      <c r="A468" t="s">
        <v>156</v>
      </c>
      <c r="B468" t="s">
        <v>445</v>
      </c>
      <c r="C468" s="1"/>
      <c r="D468" s="1">
        <v>7800000</v>
      </c>
      <c r="E468" s="1"/>
      <c r="F468" s="1"/>
      <c r="G468" s="1"/>
      <c r="H468" s="1"/>
      <c r="I468" s="1"/>
    </row>
    <row r="469" spans="1:9" x14ac:dyDescent="0.3">
      <c r="A469" t="s">
        <v>156</v>
      </c>
      <c r="B469" t="s">
        <v>430</v>
      </c>
      <c r="C469" s="1"/>
      <c r="D469" s="1">
        <v>7800000</v>
      </c>
      <c r="E469" s="1"/>
      <c r="F469" s="1"/>
      <c r="G469" s="1"/>
      <c r="H469" s="1"/>
      <c r="I469" s="1"/>
    </row>
    <row r="470" spans="1:9" x14ac:dyDescent="0.3">
      <c r="A470" t="s">
        <v>156</v>
      </c>
      <c r="B470" t="s">
        <v>446</v>
      </c>
      <c r="C470" s="1">
        <v>1</v>
      </c>
      <c r="D470" s="1">
        <v>7000000</v>
      </c>
      <c r="E470" s="1"/>
      <c r="F470" s="1"/>
      <c r="G470" s="1"/>
      <c r="H470" s="1"/>
      <c r="I470" s="1"/>
    </row>
    <row r="471" spans="1:9" x14ac:dyDescent="0.3">
      <c r="A471" t="s">
        <v>156</v>
      </c>
      <c r="B471" t="s">
        <v>447</v>
      </c>
      <c r="C471" s="1">
        <v>1</v>
      </c>
      <c r="D471" s="1"/>
      <c r="E471" s="1"/>
      <c r="F471" s="1"/>
      <c r="G471" s="1"/>
      <c r="H471" s="1"/>
      <c r="I471" s="1"/>
    </row>
    <row r="472" spans="1:9" x14ac:dyDescent="0.3">
      <c r="A472" t="s">
        <v>156</v>
      </c>
      <c r="B472" t="s">
        <v>152</v>
      </c>
      <c r="C472" s="1">
        <v>1</v>
      </c>
      <c r="D472" s="1">
        <v>11000000</v>
      </c>
      <c r="E472" s="1"/>
      <c r="F472" s="1"/>
      <c r="G472" s="1"/>
      <c r="H472" s="1"/>
      <c r="I472" s="1"/>
    </row>
    <row r="473" spans="1:9" x14ac:dyDescent="0.3">
      <c r="A473" t="s">
        <v>156</v>
      </c>
      <c r="B473" t="s">
        <v>293</v>
      </c>
      <c r="C473" s="1">
        <v>1</v>
      </c>
      <c r="D473" s="1">
        <v>11300000</v>
      </c>
      <c r="E473" s="1"/>
      <c r="F473" s="1"/>
      <c r="G473" s="1"/>
      <c r="H473" s="1"/>
      <c r="I473" s="1"/>
    </row>
    <row r="474" spans="1:9" x14ac:dyDescent="0.3">
      <c r="A474" t="s">
        <v>156</v>
      </c>
      <c r="B474" t="s">
        <v>41</v>
      </c>
      <c r="C474" s="1">
        <v>1</v>
      </c>
      <c r="D474" s="1">
        <v>7600000</v>
      </c>
      <c r="E474" s="1"/>
      <c r="F474" s="1"/>
      <c r="G474" s="1"/>
      <c r="H474" s="1"/>
      <c r="I474" s="1"/>
    </row>
    <row r="475" spans="1:9" x14ac:dyDescent="0.3">
      <c r="A475" t="s">
        <v>156</v>
      </c>
      <c r="B475" t="s">
        <v>448</v>
      </c>
      <c r="C475" s="1">
        <v>2</v>
      </c>
      <c r="D475" s="1">
        <v>9000000</v>
      </c>
      <c r="E475" s="1"/>
      <c r="F475" s="1"/>
      <c r="G475" s="1"/>
      <c r="H475" s="1"/>
      <c r="I475" s="1"/>
    </row>
    <row r="476" spans="1:9" x14ac:dyDescent="0.3">
      <c r="A476" t="s">
        <v>156</v>
      </c>
      <c r="B476" t="s">
        <v>70</v>
      </c>
      <c r="C476" s="1">
        <v>2</v>
      </c>
      <c r="D476" s="1">
        <v>8500000</v>
      </c>
      <c r="E476" s="1"/>
      <c r="F476" s="1"/>
      <c r="G476" s="1"/>
      <c r="H476" s="1"/>
      <c r="I476" s="1"/>
    </row>
    <row r="477" spans="1:9" x14ac:dyDescent="0.3">
      <c r="A477" t="s">
        <v>156</v>
      </c>
      <c r="B477" t="s">
        <v>449</v>
      </c>
      <c r="C477" s="1">
        <v>1</v>
      </c>
      <c r="D477" s="1">
        <v>8000000</v>
      </c>
      <c r="E477" s="1"/>
      <c r="F477" s="1"/>
      <c r="G477" s="1"/>
      <c r="H477" s="1"/>
      <c r="I477" s="1"/>
    </row>
    <row r="478" spans="1:9" x14ac:dyDescent="0.3">
      <c r="A478" t="s">
        <v>156</v>
      </c>
      <c r="B478" t="s">
        <v>431</v>
      </c>
      <c r="C478" s="1">
        <v>1</v>
      </c>
      <c r="D478" s="1">
        <v>12000000</v>
      </c>
      <c r="E478" s="1"/>
      <c r="F478" s="1"/>
      <c r="G478" s="1"/>
      <c r="H478" s="1"/>
      <c r="I478" s="1"/>
    </row>
    <row r="479" spans="1:9" x14ac:dyDescent="0.3">
      <c r="A479" t="s">
        <v>156</v>
      </c>
      <c r="B479" t="s">
        <v>196</v>
      </c>
      <c r="C479" s="1">
        <v>1</v>
      </c>
      <c r="D479" s="1">
        <v>9500000</v>
      </c>
      <c r="E479" s="1"/>
      <c r="F479" s="1"/>
      <c r="G479" s="1"/>
      <c r="H479" s="1"/>
      <c r="I479" s="1"/>
    </row>
    <row r="480" spans="1:9" x14ac:dyDescent="0.3">
      <c r="A480" t="s">
        <v>156</v>
      </c>
      <c r="B480" t="s">
        <v>450</v>
      </c>
      <c r="C480" s="1"/>
      <c r="D480" s="1">
        <v>7800000</v>
      </c>
      <c r="E480" s="1"/>
      <c r="F480" s="1"/>
      <c r="G480" s="1"/>
      <c r="H480" s="1"/>
      <c r="I480" s="1"/>
    </row>
    <row r="481" spans="1:9" x14ac:dyDescent="0.3">
      <c r="A481" t="s">
        <v>156</v>
      </c>
      <c r="B481" t="s">
        <v>451</v>
      </c>
      <c r="C481" s="1"/>
      <c r="D481" s="1">
        <v>7000000</v>
      </c>
      <c r="E481" s="1"/>
      <c r="F481" s="1"/>
      <c r="G481" s="1"/>
      <c r="H481" s="1"/>
      <c r="I481" s="1"/>
    </row>
    <row r="482" spans="1:9" x14ac:dyDescent="0.3">
      <c r="A482" t="s">
        <v>156</v>
      </c>
      <c r="B482" t="s">
        <v>452</v>
      </c>
      <c r="C482" s="1">
        <v>3</v>
      </c>
      <c r="D482" s="1">
        <v>11300000</v>
      </c>
      <c r="E482" s="1"/>
      <c r="F482" s="1"/>
      <c r="G482" s="1"/>
      <c r="H482" s="1"/>
      <c r="I482" s="1"/>
    </row>
    <row r="483" spans="1:9" x14ac:dyDescent="0.3">
      <c r="A483" t="s">
        <v>156</v>
      </c>
      <c r="B483" t="s">
        <v>453</v>
      </c>
      <c r="C483" s="1">
        <v>1</v>
      </c>
      <c r="D483" s="1"/>
      <c r="E483" s="1"/>
      <c r="F483" s="1"/>
      <c r="G483" s="1"/>
      <c r="H483" s="1"/>
      <c r="I483" s="1"/>
    </row>
    <row r="484" spans="1:9" x14ac:dyDescent="0.3">
      <c r="A484" t="s">
        <v>156</v>
      </c>
      <c r="B484" t="s">
        <v>454</v>
      </c>
      <c r="C484" s="1">
        <v>1</v>
      </c>
      <c r="D484" s="1">
        <v>14000000</v>
      </c>
      <c r="E484" s="1"/>
      <c r="F484" s="1"/>
      <c r="G484" s="1"/>
      <c r="H484" s="1"/>
      <c r="I484" s="1"/>
    </row>
    <row r="485" spans="1:9" x14ac:dyDescent="0.3">
      <c r="A485" t="s">
        <v>156</v>
      </c>
      <c r="B485" t="s">
        <v>455</v>
      </c>
      <c r="C485" s="1">
        <v>1</v>
      </c>
      <c r="D485" s="1">
        <v>15000000</v>
      </c>
      <c r="E485" s="1"/>
      <c r="F485" s="1"/>
      <c r="G485" s="1"/>
      <c r="H485" s="1"/>
      <c r="I485" s="1"/>
    </row>
    <row r="486" spans="1:9" x14ac:dyDescent="0.3">
      <c r="A486" t="s">
        <v>156</v>
      </c>
      <c r="B486" t="s">
        <v>456</v>
      </c>
      <c r="C486" s="1">
        <v>1</v>
      </c>
      <c r="D486" s="1">
        <v>7000000</v>
      </c>
      <c r="E486" s="1"/>
      <c r="F486" s="1"/>
      <c r="G486" s="1"/>
      <c r="H486" s="1"/>
      <c r="I486" s="1"/>
    </row>
    <row r="487" spans="1:9" x14ac:dyDescent="0.3">
      <c r="A487" t="s">
        <v>156</v>
      </c>
      <c r="B487" t="s">
        <v>457</v>
      </c>
      <c r="C487" s="1">
        <v>1</v>
      </c>
      <c r="D487" s="1">
        <v>9000000</v>
      </c>
      <c r="E487" s="1"/>
      <c r="F487" s="1"/>
      <c r="G487" s="1"/>
      <c r="H487" s="1"/>
      <c r="I487" s="1"/>
    </row>
    <row r="488" spans="1:9" x14ac:dyDescent="0.3">
      <c r="A488" t="s">
        <v>156</v>
      </c>
      <c r="B488" t="s">
        <v>458</v>
      </c>
      <c r="C488" s="1">
        <v>1</v>
      </c>
      <c r="D488" s="1">
        <v>16800000</v>
      </c>
      <c r="E488" s="1"/>
      <c r="F488" s="1"/>
      <c r="G488" s="1"/>
      <c r="H488" s="1"/>
      <c r="I488" s="1"/>
    </row>
    <row r="489" spans="1:9" x14ac:dyDescent="0.3">
      <c r="A489" t="s">
        <v>156</v>
      </c>
      <c r="B489" t="s">
        <v>459</v>
      </c>
      <c r="C489" s="1">
        <v>1</v>
      </c>
      <c r="D489" s="1">
        <v>16800000</v>
      </c>
      <c r="E489" s="1"/>
      <c r="F489" s="1"/>
      <c r="G489" s="1"/>
      <c r="H489" s="1"/>
      <c r="I489" s="1"/>
    </row>
    <row r="490" spans="1:9" x14ac:dyDescent="0.3">
      <c r="A490" t="s">
        <v>156</v>
      </c>
      <c r="B490" t="s">
        <v>460</v>
      </c>
      <c r="C490" s="1">
        <v>1</v>
      </c>
      <c r="D490" s="1">
        <v>16800000</v>
      </c>
      <c r="E490" s="1"/>
      <c r="F490" s="1"/>
      <c r="G490" s="1"/>
      <c r="H490" s="1"/>
      <c r="I490" s="1"/>
    </row>
    <row r="491" spans="1:9" x14ac:dyDescent="0.3">
      <c r="A491" t="s">
        <v>156</v>
      </c>
      <c r="B491" t="s">
        <v>461</v>
      </c>
      <c r="C491" s="1">
        <v>1</v>
      </c>
      <c r="D491" s="1"/>
      <c r="E491" s="1"/>
      <c r="F491" s="1"/>
      <c r="G491" s="1"/>
      <c r="H491" s="1"/>
      <c r="I491" s="1"/>
    </row>
    <row r="492" spans="1:9" x14ac:dyDescent="0.3">
      <c r="A492" t="s">
        <v>156</v>
      </c>
      <c r="B492" t="s">
        <v>462</v>
      </c>
      <c r="C492" s="1">
        <v>3</v>
      </c>
      <c r="D492" s="1">
        <v>8100000</v>
      </c>
      <c r="E492" s="1"/>
      <c r="F492" s="1"/>
      <c r="G492" s="1"/>
      <c r="H492" s="1"/>
      <c r="I492" s="1"/>
    </row>
    <row r="493" spans="1:9" x14ac:dyDescent="0.3">
      <c r="A493" t="s">
        <v>201</v>
      </c>
      <c r="B493" t="s">
        <v>463</v>
      </c>
      <c r="C493" s="1"/>
      <c r="D493" s="1">
        <v>1290000</v>
      </c>
      <c r="E493" s="1"/>
      <c r="F493" s="1"/>
      <c r="G493" s="1"/>
      <c r="H493" s="1"/>
      <c r="I493" s="1"/>
    </row>
    <row r="494" spans="1:9" x14ac:dyDescent="0.3">
      <c r="A494" t="s">
        <v>201</v>
      </c>
      <c r="B494" t="s">
        <v>464</v>
      </c>
      <c r="C494" s="1"/>
      <c r="D494" s="1">
        <v>11000000</v>
      </c>
      <c r="E494" s="1"/>
      <c r="F494" s="1"/>
      <c r="G494" s="1"/>
      <c r="H494" s="1"/>
      <c r="I494" s="1"/>
    </row>
    <row r="495" spans="1:9" x14ac:dyDescent="0.3">
      <c r="A495" t="s">
        <v>201</v>
      </c>
      <c r="B495" t="s">
        <v>464</v>
      </c>
      <c r="C495" s="1"/>
      <c r="D495" s="1">
        <v>9500000</v>
      </c>
      <c r="E495" s="1"/>
      <c r="F495" s="1"/>
      <c r="G495" s="1"/>
      <c r="H495" s="1"/>
      <c r="I495" s="1"/>
    </row>
    <row r="496" spans="1:9" x14ac:dyDescent="0.3">
      <c r="A496" t="s">
        <v>201</v>
      </c>
      <c r="B496" t="s">
        <v>465</v>
      </c>
      <c r="C496" s="1"/>
      <c r="D496" s="1">
        <v>790000</v>
      </c>
      <c r="E496" s="1"/>
      <c r="F496" s="1"/>
      <c r="G496" s="1"/>
      <c r="H496" s="1"/>
      <c r="I496" s="1"/>
    </row>
    <row r="497" spans="1:9" x14ac:dyDescent="0.3">
      <c r="A497" t="s">
        <v>201</v>
      </c>
      <c r="B497" t="s">
        <v>466</v>
      </c>
      <c r="C497" s="1">
        <v>1</v>
      </c>
      <c r="D497" s="1">
        <v>1290000</v>
      </c>
      <c r="E497" s="1"/>
      <c r="F497" s="1"/>
      <c r="G497" s="1"/>
      <c r="H497" s="1"/>
      <c r="I497" s="1"/>
    </row>
    <row r="498" spans="1:9" x14ac:dyDescent="0.3">
      <c r="A498" t="s">
        <v>201</v>
      </c>
      <c r="B498" t="s">
        <v>467</v>
      </c>
      <c r="C498" s="1">
        <v>1</v>
      </c>
      <c r="D498" s="1">
        <v>1800000</v>
      </c>
      <c r="E498" s="1"/>
      <c r="F498" s="1"/>
      <c r="G498" s="1"/>
      <c r="H498" s="1"/>
      <c r="I498" s="1"/>
    </row>
    <row r="499" spans="1:9" x14ac:dyDescent="0.3">
      <c r="A499" t="s">
        <v>201</v>
      </c>
      <c r="B499" t="s">
        <v>468</v>
      </c>
      <c r="C499" s="1"/>
      <c r="D499" s="1">
        <v>1399000</v>
      </c>
      <c r="E499" s="1"/>
      <c r="F499" s="1"/>
      <c r="G499" s="1"/>
      <c r="H499" s="1"/>
      <c r="I499" s="1"/>
    </row>
    <row r="500" spans="1:9" x14ac:dyDescent="0.3">
      <c r="A500" t="s">
        <v>469</v>
      </c>
      <c r="B500" t="s">
        <v>470</v>
      </c>
      <c r="C500" s="1">
        <v>2</v>
      </c>
      <c r="D500" s="1">
        <v>2000000</v>
      </c>
      <c r="E500" s="1"/>
      <c r="F500" s="1"/>
      <c r="G500" s="1"/>
      <c r="H500" s="1"/>
      <c r="I500" s="1"/>
    </row>
    <row r="501" spans="1:9" x14ac:dyDescent="0.3">
      <c r="A501" t="s">
        <v>469</v>
      </c>
      <c r="B501" t="s">
        <v>471</v>
      </c>
      <c r="C501" s="1">
        <v>4</v>
      </c>
      <c r="D501" s="1">
        <v>1800000</v>
      </c>
      <c r="E501" s="1"/>
      <c r="F501" s="1"/>
      <c r="G501" s="1"/>
      <c r="H501" s="1"/>
      <c r="I501" s="1"/>
    </row>
    <row r="502" spans="1:9" x14ac:dyDescent="0.3">
      <c r="A502" t="s">
        <v>469</v>
      </c>
      <c r="B502" t="s">
        <v>472</v>
      </c>
      <c r="C502" s="1">
        <v>1</v>
      </c>
      <c r="D502" s="1">
        <v>3000000</v>
      </c>
      <c r="E502" s="1"/>
      <c r="F502" s="1"/>
      <c r="G502" s="1"/>
      <c r="H502" s="1"/>
      <c r="I502" s="1"/>
    </row>
    <row r="503" spans="1:9" x14ac:dyDescent="0.3">
      <c r="A503" t="s">
        <v>469</v>
      </c>
      <c r="B503" t="s">
        <v>472</v>
      </c>
      <c r="C503" s="1">
        <v>1</v>
      </c>
      <c r="D503" s="1">
        <v>2400000</v>
      </c>
      <c r="E503" s="1"/>
      <c r="F503" s="1"/>
      <c r="G503" s="1"/>
      <c r="H503" s="1"/>
      <c r="I503" s="1"/>
    </row>
    <row r="504" spans="1:9" x14ac:dyDescent="0.3">
      <c r="A504" t="s">
        <v>143</v>
      </c>
      <c r="B504" t="s">
        <v>473</v>
      </c>
      <c r="C504" s="1"/>
      <c r="D504" s="1">
        <v>5000000</v>
      </c>
      <c r="E504" s="1"/>
      <c r="F504" s="1"/>
      <c r="G504" s="1"/>
      <c r="H504" s="1"/>
      <c r="I504" s="1"/>
    </row>
    <row r="505" spans="1:9" x14ac:dyDescent="0.3">
      <c r="A505" t="s">
        <v>143</v>
      </c>
      <c r="B505" t="s">
        <v>474</v>
      </c>
      <c r="C505" s="1">
        <v>1</v>
      </c>
      <c r="D505" s="1">
        <v>13500000</v>
      </c>
      <c r="E505" s="1"/>
      <c r="F505" s="1"/>
      <c r="G505" s="1"/>
      <c r="H505" s="1"/>
      <c r="I505" s="1"/>
    </row>
    <row r="506" spans="1:9" x14ac:dyDescent="0.3">
      <c r="A506" t="s">
        <v>143</v>
      </c>
      <c r="B506" t="s">
        <v>225</v>
      </c>
      <c r="C506" s="1">
        <v>1</v>
      </c>
      <c r="D506" s="1">
        <v>13490000</v>
      </c>
      <c r="E506" s="1"/>
      <c r="F506" s="1"/>
      <c r="G506" s="1"/>
      <c r="H506" s="1"/>
      <c r="I506" s="1"/>
    </row>
    <row r="507" spans="1:9" x14ac:dyDescent="0.3">
      <c r="A507" t="s">
        <v>143</v>
      </c>
      <c r="B507" t="s">
        <v>475</v>
      </c>
      <c r="C507" s="1">
        <v>1</v>
      </c>
      <c r="D507" s="1">
        <v>2000000</v>
      </c>
      <c r="E507" s="1"/>
      <c r="F507" s="1"/>
      <c r="G507" s="1"/>
      <c r="H507" s="1"/>
      <c r="I507" s="1"/>
    </row>
    <row r="508" spans="1:9" x14ac:dyDescent="0.3">
      <c r="A508" t="s">
        <v>143</v>
      </c>
      <c r="B508" t="s">
        <v>86</v>
      </c>
      <c r="C508" s="1">
        <v>2</v>
      </c>
      <c r="D508" s="1">
        <v>4590000</v>
      </c>
      <c r="E508" s="1"/>
      <c r="F508" s="1"/>
      <c r="G508" s="1"/>
      <c r="H508" s="1"/>
      <c r="I508" s="1"/>
    </row>
    <row r="509" spans="1:9" x14ac:dyDescent="0.3">
      <c r="A509" t="s">
        <v>93</v>
      </c>
      <c r="B509" t="s">
        <v>178</v>
      </c>
      <c r="C509" s="1">
        <v>4</v>
      </c>
      <c r="D509" s="1">
        <v>9500000</v>
      </c>
      <c r="E509" s="1"/>
      <c r="F509" s="1"/>
      <c r="G509" s="1"/>
      <c r="H509" s="1"/>
      <c r="I509" s="1"/>
    </row>
    <row r="510" spans="1:9" x14ac:dyDescent="0.3">
      <c r="A510" t="s">
        <v>93</v>
      </c>
      <c r="B510" t="s">
        <v>476</v>
      </c>
      <c r="C510" s="1">
        <v>1</v>
      </c>
      <c r="D510" s="1">
        <v>9000000</v>
      </c>
      <c r="E510" s="1"/>
      <c r="F510" s="1"/>
      <c r="G510" s="1"/>
      <c r="H510" s="1"/>
      <c r="I510" s="1"/>
    </row>
    <row r="511" spans="1:9" x14ac:dyDescent="0.3">
      <c r="A511" t="s">
        <v>93</v>
      </c>
      <c r="B511" t="s">
        <v>477</v>
      </c>
      <c r="C511" s="1"/>
      <c r="D511" s="1">
        <v>8500000</v>
      </c>
      <c r="E511" s="1"/>
      <c r="F511" s="1"/>
      <c r="G511" s="1"/>
      <c r="H511" s="1"/>
      <c r="I511" s="1"/>
    </row>
    <row r="512" spans="1:9" x14ac:dyDescent="0.3">
      <c r="A512" t="s">
        <v>93</v>
      </c>
      <c r="B512" t="s">
        <v>478</v>
      </c>
      <c r="C512" s="1"/>
      <c r="D512" s="1">
        <v>3199000</v>
      </c>
      <c r="E512" s="1"/>
      <c r="F512" s="1"/>
      <c r="G512" s="1"/>
      <c r="H512" s="1"/>
      <c r="I512" s="1"/>
    </row>
    <row r="513" spans="1:9" x14ac:dyDescent="0.3">
      <c r="A513" t="s">
        <v>93</v>
      </c>
      <c r="B513" t="s">
        <v>479</v>
      </c>
      <c r="C513" s="1">
        <v>1</v>
      </c>
      <c r="D513" s="1">
        <v>5800000</v>
      </c>
      <c r="E513" s="1"/>
      <c r="F513" s="1"/>
      <c r="G513" s="1"/>
      <c r="H513" s="1"/>
      <c r="I513" s="1"/>
    </row>
    <row r="514" spans="1:9" x14ac:dyDescent="0.3">
      <c r="A514" t="s">
        <v>93</v>
      </c>
      <c r="B514" t="s">
        <v>480</v>
      </c>
      <c r="C514" s="1">
        <v>1</v>
      </c>
      <c r="D514" s="1">
        <v>6400000</v>
      </c>
      <c r="E514" s="1"/>
      <c r="F514" s="1"/>
      <c r="G514" s="1"/>
      <c r="H514" s="1"/>
      <c r="I514" s="1"/>
    </row>
    <row r="515" spans="1:9" x14ac:dyDescent="0.3">
      <c r="A515" t="s">
        <v>93</v>
      </c>
      <c r="B515" t="s">
        <v>481</v>
      </c>
      <c r="C515" s="1">
        <v>1</v>
      </c>
      <c r="D515" s="1">
        <v>7300000</v>
      </c>
      <c r="E515" s="1"/>
      <c r="F515" s="1"/>
      <c r="G515" s="1"/>
      <c r="H515" s="1"/>
      <c r="I515" s="1"/>
    </row>
    <row r="516" spans="1:9" x14ac:dyDescent="0.3">
      <c r="A516" t="s">
        <v>93</v>
      </c>
      <c r="B516" t="s">
        <v>232</v>
      </c>
      <c r="C516" s="1">
        <v>1</v>
      </c>
      <c r="D516" s="1">
        <v>6100000</v>
      </c>
      <c r="E516" s="1"/>
      <c r="F516" s="1"/>
      <c r="G516" s="1"/>
      <c r="H516" s="1"/>
      <c r="I516" s="1"/>
    </row>
    <row r="517" spans="1:9" x14ac:dyDescent="0.3">
      <c r="A517" t="s">
        <v>93</v>
      </c>
      <c r="B517" t="s">
        <v>482</v>
      </c>
      <c r="C517" s="1">
        <v>1</v>
      </c>
      <c r="D517" s="1">
        <v>4900000</v>
      </c>
      <c r="E517" s="1"/>
      <c r="F517" s="1"/>
      <c r="G517" s="1"/>
      <c r="H517" s="1"/>
      <c r="I517" s="1"/>
    </row>
    <row r="518" spans="1:9" x14ac:dyDescent="0.3">
      <c r="A518" t="s">
        <v>93</v>
      </c>
      <c r="B518" t="s">
        <v>206</v>
      </c>
      <c r="C518" s="1">
        <v>1</v>
      </c>
      <c r="D518" s="1">
        <v>9100000</v>
      </c>
      <c r="E518" s="1"/>
      <c r="F518" s="1"/>
      <c r="G518" s="1"/>
      <c r="H518" s="1"/>
      <c r="I518" s="1"/>
    </row>
    <row r="519" spans="1:9" x14ac:dyDescent="0.3">
      <c r="A519" t="s">
        <v>93</v>
      </c>
      <c r="B519" t="s">
        <v>483</v>
      </c>
      <c r="C519" s="1">
        <v>1</v>
      </c>
      <c r="D519" s="1">
        <v>12000000</v>
      </c>
      <c r="E519" s="1"/>
      <c r="F519" s="1"/>
      <c r="G519" s="1"/>
      <c r="H519" s="1"/>
      <c r="I519" s="1"/>
    </row>
    <row r="520" spans="1:9" x14ac:dyDescent="0.3">
      <c r="A520" t="s">
        <v>93</v>
      </c>
      <c r="B520" t="s">
        <v>484</v>
      </c>
      <c r="C520" s="1"/>
      <c r="D520" s="1">
        <v>8000000</v>
      </c>
      <c r="E520" s="1"/>
      <c r="F520" s="1"/>
      <c r="G520" s="1"/>
      <c r="H520" s="1"/>
      <c r="I520" s="1"/>
    </row>
    <row r="521" spans="1:9" x14ac:dyDescent="0.3">
      <c r="A521" t="s">
        <v>93</v>
      </c>
      <c r="B521" t="s">
        <v>485</v>
      </c>
      <c r="C521" s="1">
        <v>1</v>
      </c>
      <c r="D521" s="1">
        <v>5400000</v>
      </c>
      <c r="E521" s="1"/>
      <c r="F521" s="1"/>
      <c r="G521" s="1"/>
      <c r="H521" s="1"/>
      <c r="I521" s="1"/>
    </row>
    <row r="522" spans="1:9" x14ac:dyDescent="0.3">
      <c r="A522" t="s">
        <v>93</v>
      </c>
      <c r="B522" t="s">
        <v>486</v>
      </c>
      <c r="C522" s="1"/>
      <c r="D522" s="1">
        <v>5700000</v>
      </c>
      <c r="E522" s="1"/>
      <c r="F522" s="1"/>
      <c r="G522" s="1"/>
      <c r="H522" s="1"/>
      <c r="I522" s="1"/>
    </row>
    <row r="523" spans="1:9" x14ac:dyDescent="0.3">
      <c r="A523" t="s">
        <v>93</v>
      </c>
      <c r="B523" t="s">
        <v>487</v>
      </c>
      <c r="C523" s="1"/>
      <c r="D523" s="1">
        <v>5700000</v>
      </c>
      <c r="E523" s="1"/>
      <c r="F523" s="1"/>
      <c r="G523" s="1"/>
      <c r="H523" s="1"/>
      <c r="I523" s="1"/>
    </row>
    <row r="524" spans="1:9" x14ac:dyDescent="0.3">
      <c r="A524" t="s">
        <v>93</v>
      </c>
      <c r="B524" t="s">
        <v>488</v>
      </c>
      <c r="C524" s="1">
        <v>1</v>
      </c>
      <c r="D524" s="1">
        <v>5400000</v>
      </c>
      <c r="E524" s="1"/>
      <c r="F524" s="1"/>
      <c r="G524" s="1"/>
      <c r="H524" s="1"/>
      <c r="I524" s="1"/>
    </row>
    <row r="525" spans="1:9" x14ac:dyDescent="0.3">
      <c r="A525" t="s">
        <v>93</v>
      </c>
      <c r="B525" t="s">
        <v>489</v>
      </c>
      <c r="C525" s="1">
        <v>3</v>
      </c>
      <c r="D525" s="1">
        <v>6500000</v>
      </c>
      <c r="E525" s="1"/>
      <c r="F525" s="1"/>
      <c r="G525" s="1"/>
      <c r="H525" s="1"/>
      <c r="I525" s="1"/>
    </row>
    <row r="526" spans="1:9" x14ac:dyDescent="0.3">
      <c r="A526" t="s">
        <v>93</v>
      </c>
      <c r="B526" t="s">
        <v>490</v>
      </c>
      <c r="C526" s="1"/>
      <c r="D526" s="1">
        <v>6200000</v>
      </c>
      <c r="E526" s="1"/>
      <c r="F526" s="1"/>
      <c r="G526" s="1"/>
      <c r="H526" s="1"/>
      <c r="I526" s="1"/>
    </row>
    <row r="527" spans="1:9" x14ac:dyDescent="0.3">
      <c r="A527" t="s">
        <v>93</v>
      </c>
      <c r="B527" t="s">
        <v>491</v>
      </c>
      <c r="C527" s="1"/>
      <c r="D527" s="1">
        <v>5800000</v>
      </c>
      <c r="E527" s="1"/>
      <c r="F527" s="1"/>
      <c r="G527" s="1"/>
      <c r="H527" s="1"/>
      <c r="I527" s="1"/>
    </row>
    <row r="528" spans="1:9" x14ac:dyDescent="0.3">
      <c r="A528" t="s">
        <v>93</v>
      </c>
      <c r="B528" t="s">
        <v>492</v>
      </c>
      <c r="C528" s="1"/>
      <c r="D528" s="1">
        <v>5600000</v>
      </c>
      <c r="E528" s="1"/>
      <c r="F528" s="1"/>
      <c r="G528" s="1"/>
      <c r="H528" s="1"/>
      <c r="I528" s="1"/>
    </row>
    <row r="529" spans="1:9" x14ac:dyDescent="0.3">
      <c r="A529" t="s">
        <v>93</v>
      </c>
      <c r="B529" t="s">
        <v>493</v>
      </c>
      <c r="C529" s="1"/>
      <c r="D529" s="1">
        <v>3850000</v>
      </c>
      <c r="E529" s="1"/>
      <c r="F529" s="1"/>
      <c r="G529" s="1"/>
      <c r="H529" s="1"/>
      <c r="I529" s="1"/>
    </row>
    <row r="530" spans="1:9" x14ac:dyDescent="0.3">
      <c r="A530" t="s">
        <v>93</v>
      </c>
      <c r="B530" t="s">
        <v>494</v>
      </c>
      <c r="C530" s="1"/>
      <c r="D530" s="1">
        <v>7499000</v>
      </c>
      <c r="E530" s="1"/>
      <c r="F530" s="1"/>
      <c r="G530" s="1"/>
      <c r="H530" s="1"/>
      <c r="I530" s="1"/>
    </row>
    <row r="531" spans="1:9" x14ac:dyDescent="0.3">
      <c r="A531" t="s">
        <v>93</v>
      </c>
      <c r="B531" t="s">
        <v>495</v>
      </c>
      <c r="C531" s="1"/>
      <c r="D531" s="1">
        <v>4800000</v>
      </c>
      <c r="E531" s="1"/>
      <c r="F531" s="1"/>
      <c r="G531" s="1"/>
      <c r="H531" s="1"/>
      <c r="I531" s="1"/>
    </row>
    <row r="532" spans="1:9" x14ac:dyDescent="0.3">
      <c r="A532" t="s">
        <v>93</v>
      </c>
      <c r="B532" t="s">
        <v>496</v>
      </c>
      <c r="C532" s="1"/>
      <c r="D532" s="1">
        <v>3500000</v>
      </c>
      <c r="E532" s="1"/>
      <c r="F532" s="1"/>
      <c r="G532" s="1"/>
      <c r="H532" s="1"/>
      <c r="I532" s="1"/>
    </row>
    <row r="533" spans="1:9" x14ac:dyDescent="0.3">
      <c r="A533" t="s">
        <v>93</v>
      </c>
      <c r="B533" t="s">
        <v>497</v>
      </c>
      <c r="C533" s="1"/>
      <c r="D533" s="1">
        <v>4699000</v>
      </c>
      <c r="E533" s="1"/>
      <c r="F533" s="1"/>
      <c r="G533" s="1"/>
      <c r="H533" s="1"/>
      <c r="I533" s="1"/>
    </row>
    <row r="534" spans="1:9" x14ac:dyDescent="0.3">
      <c r="A534" t="s">
        <v>93</v>
      </c>
      <c r="B534" t="s">
        <v>498</v>
      </c>
      <c r="C534" s="1"/>
      <c r="D534" s="1">
        <v>3400000</v>
      </c>
      <c r="E534" s="1"/>
      <c r="F534" s="1"/>
      <c r="G534" s="1"/>
      <c r="H534" s="1"/>
      <c r="I534" s="1"/>
    </row>
    <row r="535" spans="1:9" x14ac:dyDescent="0.3">
      <c r="A535" t="s">
        <v>93</v>
      </c>
      <c r="B535" t="s">
        <v>499</v>
      </c>
      <c r="C535" s="1"/>
      <c r="D535" s="1">
        <v>4600000</v>
      </c>
      <c r="E535" s="1"/>
      <c r="F535" s="1"/>
      <c r="G535" s="1"/>
      <c r="H535" s="1"/>
      <c r="I535" s="1"/>
    </row>
    <row r="536" spans="1:9" x14ac:dyDescent="0.3">
      <c r="A536" t="s">
        <v>93</v>
      </c>
      <c r="B536" t="s">
        <v>500</v>
      </c>
      <c r="C536" s="1"/>
      <c r="D536" s="1">
        <v>4600000</v>
      </c>
      <c r="E536" s="1"/>
      <c r="F536" s="1"/>
      <c r="G536" s="1"/>
      <c r="H536" s="1"/>
      <c r="I536" s="1"/>
    </row>
    <row r="537" spans="1:9" x14ac:dyDescent="0.3">
      <c r="A537" t="s">
        <v>93</v>
      </c>
      <c r="B537" t="s">
        <v>501</v>
      </c>
      <c r="C537" s="1"/>
      <c r="D537" s="1">
        <v>4250000</v>
      </c>
      <c r="E537" s="1"/>
      <c r="F537" s="1"/>
      <c r="G537" s="1"/>
      <c r="H537" s="1"/>
      <c r="I537" s="1"/>
    </row>
    <row r="538" spans="1:9" x14ac:dyDescent="0.3">
      <c r="A538" t="s">
        <v>93</v>
      </c>
      <c r="B538" t="s">
        <v>502</v>
      </c>
      <c r="C538" s="1"/>
      <c r="D538" s="1">
        <v>6500000</v>
      </c>
      <c r="E538" s="1"/>
      <c r="F538" s="1"/>
      <c r="G538" s="1"/>
      <c r="H538" s="1"/>
      <c r="I538" s="1"/>
    </row>
    <row r="539" spans="1:9" x14ac:dyDescent="0.3">
      <c r="A539" t="s">
        <v>93</v>
      </c>
      <c r="B539" t="s">
        <v>503</v>
      </c>
      <c r="C539" s="1"/>
      <c r="D539" s="1">
        <v>6100000</v>
      </c>
      <c r="E539" s="1"/>
      <c r="F539" s="1"/>
      <c r="G539" s="1"/>
      <c r="H539" s="1"/>
      <c r="I539" s="1"/>
    </row>
    <row r="540" spans="1:9" x14ac:dyDescent="0.3">
      <c r="A540" t="s">
        <v>93</v>
      </c>
      <c r="B540" t="s">
        <v>504</v>
      </c>
      <c r="C540" s="1"/>
      <c r="D540" s="1">
        <v>4800000</v>
      </c>
      <c r="E540" s="1"/>
      <c r="F540" s="1"/>
      <c r="G540" s="1"/>
      <c r="H540" s="1"/>
      <c r="I540" s="1"/>
    </row>
    <row r="541" spans="1:9" x14ac:dyDescent="0.3">
      <c r="A541" t="s">
        <v>93</v>
      </c>
      <c r="B541" t="s">
        <v>505</v>
      </c>
      <c r="C541" s="1"/>
      <c r="D541" s="1">
        <v>5400000</v>
      </c>
      <c r="E541" s="1"/>
      <c r="F541" s="1"/>
      <c r="G541" s="1"/>
      <c r="H541" s="1"/>
      <c r="I541" s="1"/>
    </row>
    <row r="542" spans="1:9" x14ac:dyDescent="0.3">
      <c r="A542" t="s">
        <v>93</v>
      </c>
      <c r="B542" t="s">
        <v>506</v>
      </c>
      <c r="C542" s="1"/>
      <c r="D542" s="1">
        <v>5750000</v>
      </c>
      <c r="E542" s="1"/>
      <c r="F542" s="1"/>
      <c r="G542" s="1"/>
      <c r="H542" s="1"/>
      <c r="I542" s="1"/>
    </row>
    <row r="543" spans="1:9" x14ac:dyDescent="0.3">
      <c r="A543" t="s">
        <v>93</v>
      </c>
      <c r="B543" t="s">
        <v>507</v>
      </c>
      <c r="C543" s="1">
        <v>1</v>
      </c>
      <c r="D543" s="1">
        <v>6400000</v>
      </c>
      <c r="E543" s="1"/>
      <c r="F543" s="1"/>
      <c r="G543" s="1"/>
      <c r="H543" s="1"/>
      <c r="I543" s="1"/>
    </row>
    <row r="544" spans="1:9" x14ac:dyDescent="0.3">
      <c r="A544" t="s">
        <v>93</v>
      </c>
      <c r="B544" t="s">
        <v>508</v>
      </c>
      <c r="C544" s="1">
        <v>2</v>
      </c>
      <c r="D544" s="1">
        <v>7300000</v>
      </c>
      <c r="E544" s="1"/>
      <c r="F544" s="1"/>
      <c r="G544" s="1"/>
      <c r="H544" s="1"/>
      <c r="I544" s="1"/>
    </row>
    <row r="545" spans="1:9" x14ac:dyDescent="0.3">
      <c r="A545" t="s">
        <v>93</v>
      </c>
      <c r="B545" t="s">
        <v>509</v>
      </c>
      <c r="C545" s="1">
        <v>1</v>
      </c>
      <c r="D545" s="1">
        <v>7600000</v>
      </c>
      <c r="E545" s="1"/>
      <c r="F545" s="1"/>
      <c r="G545" s="1"/>
      <c r="H545" s="1"/>
      <c r="I545" s="1"/>
    </row>
    <row r="546" spans="1:9" x14ac:dyDescent="0.3">
      <c r="A546" t="s">
        <v>93</v>
      </c>
      <c r="B546" t="s">
        <v>510</v>
      </c>
      <c r="C546" s="1"/>
      <c r="D546" s="1">
        <v>6000000</v>
      </c>
      <c r="E546" s="1"/>
      <c r="F546" s="1"/>
      <c r="G546" s="1"/>
      <c r="H546" s="1"/>
      <c r="I546" s="1"/>
    </row>
    <row r="547" spans="1:9" x14ac:dyDescent="0.3">
      <c r="A547" t="s">
        <v>93</v>
      </c>
      <c r="B547" t="s">
        <v>168</v>
      </c>
      <c r="C547" s="1">
        <v>1</v>
      </c>
      <c r="D547" s="1">
        <v>11500000</v>
      </c>
      <c r="E547" s="1"/>
      <c r="F547" s="1"/>
      <c r="G547" s="1"/>
      <c r="H547" s="1"/>
      <c r="I547" s="1"/>
    </row>
    <row r="548" spans="1:9" x14ac:dyDescent="0.3">
      <c r="A548" t="s">
        <v>93</v>
      </c>
      <c r="B548" t="s">
        <v>511</v>
      </c>
      <c r="C548" s="1">
        <v>1</v>
      </c>
      <c r="D548" s="1">
        <v>8800000</v>
      </c>
      <c r="E548" s="1"/>
      <c r="F548" s="1"/>
      <c r="G548" s="1"/>
      <c r="H548" s="1"/>
      <c r="I548" s="1"/>
    </row>
    <row r="549" spans="1:9" x14ac:dyDescent="0.3">
      <c r="A549" t="s">
        <v>93</v>
      </c>
      <c r="B549" t="s">
        <v>512</v>
      </c>
      <c r="C549" s="1"/>
      <c r="D549" s="1">
        <v>2700000</v>
      </c>
      <c r="E549" s="1"/>
      <c r="F549" s="1"/>
      <c r="G549" s="1"/>
      <c r="H549" s="1"/>
      <c r="I549" s="1"/>
    </row>
    <row r="550" spans="1:9" x14ac:dyDescent="0.3">
      <c r="A550" t="s">
        <v>93</v>
      </c>
      <c r="B550" t="s">
        <v>513</v>
      </c>
      <c r="C550" s="1"/>
      <c r="D550" s="1">
        <v>2600000</v>
      </c>
      <c r="E550" s="1"/>
      <c r="F550" s="1"/>
      <c r="G550" s="1"/>
      <c r="H550" s="1"/>
      <c r="I550" s="1"/>
    </row>
    <row r="551" spans="1:9" x14ac:dyDescent="0.3">
      <c r="A551" t="s">
        <v>93</v>
      </c>
      <c r="B551" t="s">
        <v>514</v>
      </c>
      <c r="C551" s="1"/>
      <c r="D551" s="1">
        <v>2800000</v>
      </c>
      <c r="E551" s="1"/>
      <c r="F551" s="1"/>
      <c r="G551" s="1"/>
      <c r="H551" s="1"/>
      <c r="I551" s="1"/>
    </row>
    <row r="552" spans="1:9" x14ac:dyDescent="0.3">
      <c r="A552" t="s">
        <v>93</v>
      </c>
      <c r="B552" t="s">
        <v>515</v>
      </c>
      <c r="C552" s="1">
        <v>1</v>
      </c>
      <c r="D552" s="1">
        <v>13900000</v>
      </c>
      <c r="E552" s="1"/>
      <c r="F552" s="1"/>
      <c r="G552" s="1"/>
      <c r="H552" s="1"/>
      <c r="I552" s="1"/>
    </row>
    <row r="553" spans="1:9" x14ac:dyDescent="0.3">
      <c r="A553" t="s">
        <v>93</v>
      </c>
      <c r="B553" t="s">
        <v>516</v>
      </c>
      <c r="C553" s="1"/>
      <c r="D553" s="1">
        <v>10900000</v>
      </c>
      <c r="E553" s="1"/>
      <c r="F553" s="1"/>
      <c r="G553" s="1"/>
      <c r="H553" s="1"/>
      <c r="I553" s="1"/>
    </row>
    <row r="554" spans="1:9" x14ac:dyDescent="0.3">
      <c r="A554" t="s">
        <v>93</v>
      </c>
      <c r="B554" t="s">
        <v>517</v>
      </c>
      <c r="C554" s="1"/>
      <c r="D554" s="1">
        <v>12000000</v>
      </c>
      <c r="E554" s="1"/>
      <c r="F554" s="1"/>
      <c r="G554" s="1"/>
      <c r="H554" s="1"/>
      <c r="I554" s="1"/>
    </row>
    <row r="555" spans="1:9" x14ac:dyDescent="0.3">
      <c r="A555" t="s">
        <v>93</v>
      </c>
      <c r="B555" t="s">
        <v>518</v>
      </c>
      <c r="C555" s="1"/>
      <c r="D555" s="1">
        <v>10000000</v>
      </c>
      <c r="E555" s="1"/>
      <c r="F555" s="1"/>
      <c r="G555" s="1"/>
      <c r="H555" s="1"/>
      <c r="I555" s="1"/>
    </row>
    <row r="556" spans="1:9" x14ac:dyDescent="0.3">
      <c r="A556" t="s">
        <v>93</v>
      </c>
      <c r="B556" t="s">
        <v>519</v>
      </c>
      <c r="C556" s="1"/>
      <c r="D556" s="1">
        <v>14500000</v>
      </c>
      <c r="E556" s="1"/>
      <c r="F556" s="1"/>
      <c r="G556" s="1"/>
      <c r="H556" s="1"/>
      <c r="I556" s="1"/>
    </row>
    <row r="557" spans="1:9" x14ac:dyDescent="0.3">
      <c r="A557" t="s">
        <v>93</v>
      </c>
      <c r="B557" t="s">
        <v>520</v>
      </c>
      <c r="C557" s="1"/>
      <c r="D557" s="1">
        <v>10100000</v>
      </c>
      <c r="E557" s="1"/>
      <c r="F557" s="1"/>
      <c r="G557" s="1"/>
      <c r="H557" s="1"/>
      <c r="I557" s="1"/>
    </row>
    <row r="558" spans="1:9" x14ac:dyDescent="0.3">
      <c r="A558" t="s">
        <v>93</v>
      </c>
      <c r="B558" t="s">
        <v>521</v>
      </c>
      <c r="C558" s="1">
        <v>1</v>
      </c>
      <c r="D558" s="1">
        <v>20500000</v>
      </c>
      <c r="E558" s="1"/>
      <c r="F558" s="1"/>
      <c r="G558" s="1"/>
      <c r="H558" s="1"/>
      <c r="I558" s="1"/>
    </row>
    <row r="559" spans="1:9" x14ac:dyDescent="0.3">
      <c r="A559" t="s">
        <v>93</v>
      </c>
      <c r="B559" t="s">
        <v>522</v>
      </c>
      <c r="C559" s="1">
        <v>2</v>
      </c>
      <c r="D559" s="1">
        <v>21000000</v>
      </c>
      <c r="E559" s="1"/>
      <c r="F559" s="1"/>
      <c r="G559" s="1"/>
      <c r="H559" s="1"/>
      <c r="I559" s="1"/>
    </row>
    <row r="560" spans="1:9" x14ac:dyDescent="0.3">
      <c r="A560" t="s">
        <v>93</v>
      </c>
      <c r="B560" t="s">
        <v>523</v>
      </c>
      <c r="C560" s="1">
        <v>1</v>
      </c>
      <c r="D560" s="1">
        <v>20000000</v>
      </c>
      <c r="E560" s="1"/>
      <c r="F560" s="1"/>
      <c r="G560" s="1"/>
      <c r="H560" s="1"/>
      <c r="I560" s="1"/>
    </row>
    <row r="561" spans="1:9" x14ac:dyDescent="0.3">
      <c r="A561" t="s">
        <v>93</v>
      </c>
      <c r="B561" t="s">
        <v>524</v>
      </c>
      <c r="C561" s="1">
        <v>1</v>
      </c>
      <c r="D561" s="1">
        <v>19900000</v>
      </c>
      <c r="E561" s="1"/>
      <c r="F561" s="1"/>
      <c r="G561" s="1"/>
      <c r="H561" s="1"/>
      <c r="I561" s="1"/>
    </row>
    <row r="562" spans="1:9" x14ac:dyDescent="0.3">
      <c r="A562" t="s">
        <v>93</v>
      </c>
      <c r="B562" t="s">
        <v>525</v>
      </c>
      <c r="C562" s="1">
        <v>1</v>
      </c>
      <c r="D562" s="1">
        <v>16500000</v>
      </c>
      <c r="E562" s="1"/>
      <c r="F562" s="1"/>
      <c r="G562" s="1"/>
      <c r="H562" s="1"/>
      <c r="I562" s="1"/>
    </row>
    <row r="563" spans="1:9" x14ac:dyDescent="0.3">
      <c r="A563" t="s">
        <v>93</v>
      </c>
      <c r="B563" t="s">
        <v>526</v>
      </c>
      <c r="C563" s="1">
        <v>2</v>
      </c>
      <c r="D563" s="1">
        <v>17000000</v>
      </c>
      <c r="E563" s="1"/>
      <c r="F563" s="1"/>
      <c r="G563" s="1"/>
      <c r="H563" s="1"/>
      <c r="I563" s="1"/>
    </row>
    <row r="564" spans="1:9" x14ac:dyDescent="0.3">
      <c r="A564" t="s">
        <v>93</v>
      </c>
      <c r="B564" t="s">
        <v>197</v>
      </c>
      <c r="C564" s="1">
        <v>2</v>
      </c>
      <c r="D564" s="1">
        <v>25500000</v>
      </c>
      <c r="E564" s="1"/>
      <c r="F564" s="1"/>
      <c r="G564" s="1"/>
      <c r="H564" s="1"/>
      <c r="I564" s="1"/>
    </row>
    <row r="565" spans="1:9" x14ac:dyDescent="0.3">
      <c r="A565" t="s">
        <v>93</v>
      </c>
      <c r="B565" t="s">
        <v>527</v>
      </c>
      <c r="C565" s="1">
        <v>1</v>
      </c>
      <c r="D565" s="1">
        <v>20000000</v>
      </c>
      <c r="E565" s="1"/>
      <c r="F565" s="1"/>
      <c r="G565" s="1"/>
      <c r="H565" s="1"/>
      <c r="I565" s="1"/>
    </row>
    <row r="566" spans="1:9" x14ac:dyDescent="0.3">
      <c r="A566" t="s">
        <v>93</v>
      </c>
      <c r="B566" t="s">
        <v>528</v>
      </c>
      <c r="C566" s="1">
        <v>1</v>
      </c>
      <c r="D566" s="1">
        <v>8500000</v>
      </c>
      <c r="E566" s="1"/>
      <c r="F566" s="1"/>
      <c r="G566" s="1"/>
      <c r="H566" s="1"/>
      <c r="I566" s="1"/>
    </row>
    <row r="567" spans="1:9" x14ac:dyDescent="0.3">
      <c r="A567" t="s">
        <v>93</v>
      </c>
      <c r="B567" t="s">
        <v>313</v>
      </c>
      <c r="C567" s="1">
        <v>1</v>
      </c>
      <c r="D567" s="1">
        <v>8500000</v>
      </c>
      <c r="E567" s="1"/>
      <c r="F567" s="1"/>
      <c r="G567" s="1"/>
      <c r="H567" s="1"/>
      <c r="I567" s="1"/>
    </row>
    <row r="568" spans="1:9" x14ac:dyDescent="0.3">
      <c r="A568" t="s">
        <v>93</v>
      </c>
      <c r="B568" t="s">
        <v>529</v>
      </c>
      <c r="C568" s="1">
        <v>1</v>
      </c>
      <c r="D568" s="1">
        <v>9500000</v>
      </c>
      <c r="E568" s="1"/>
      <c r="F568" s="1"/>
      <c r="G568" s="1"/>
      <c r="H568" s="1"/>
      <c r="I568" s="1"/>
    </row>
    <row r="569" spans="1:9" x14ac:dyDescent="0.3">
      <c r="A569" t="s">
        <v>10</v>
      </c>
      <c r="B569" t="s">
        <v>179</v>
      </c>
      <c r="C569" s="1">
        <v>1</v>
      </c>
      <c r="D569" s="1">
        <v>13500000</v>
      </c>
      <c r="E569" s="1"/>
      <c r="F569" s="1"/>
      <c r="G569" s="1"/>
      <c r="H569" s="1"/>
      <c r="I569" s="1"/>
    </row>
    <row r="570" spans="1:9" x14ac:dyDescent="0.3">
      <c r="A570" t="s">
        <v>10</v>
      </c>
      <c r="B570" t="s">
        <v>530</v>
      </c>
      <c r="C570" s="1">
        <v>4</v>
      </c>
      <c r="D570" s="1">
        <v>17100000</v>
      </c>
      <c r="E570" s="1"/>
      <c r="F570" s="1"/>
      <c r="G570" s="1"/>
      <c r="H570" s="1"/>
      <c r="I570" s="1">
        <v>4</v>
      </c>
    </row>
    <row r="571" spans="1:9" x14ac:dyDescent="0.3">
      <c r="A571" t="s">
        <v>10</v>
      </c>
      <c r="B571" t="s">
        <v>531</v>
      </c>
      <c r="C571" s="1">
        <v>1</v>
      </c>
      <c r="D571" s="1">
        <v>14000000</v>
      </c>
      <c r="E571" s="1"/>
      <c r="F571" s="1"/>
      <c r="G571" s="1"/>
      <c r="H571" s="1"/>
      <c r="I571" s="1"/>
    </row>
    <row r="572" spans="1:9" x14ac:dyDescent="0.3">
      <c r="A572" t="s">
        <v>10</v>
      </c>
      <c r="B572" t="s">
        <v>532</v>
      </c>
      <c r="C572" s="1">
        <v>1</v>
      </c>
      <c r="D572" s="1"/>
      <c r="E572" s="1"/>
      <c r="F572" s="1"/>
      <c r="G572" s="1"/>
      <c r="H572" s="1"/>
      <c r="I572" s="1"/>
    </row>
    <row r="573" spans="1:9" x14ac:dyDescent="0.3">
      <c r="A573" t="s">
        <v>10</v>
      </c>
      <c r="B573" t="s">
        <v>533</v>
      </c>
      <c r="C573" s="1"/>
      <c r="D573" s="1">
        <v>25300000</v>
      </c>
      <c r="E573" s="1"/>
      <c r="F573" s="1"/>
      <c r="G573" s="1"/>
      <c r="H573" s="1"/>
      <c r="I573" s="1"/>
    </row>
    <row r="574" spans="1:9" x14ac:dyDescent="0.3">
      <c r="A574" t="s">
        <v>10</v>
      </c>
      <c r="B574" t="s">
        <v>534</v>
      </c>
      <c r="C574" s="1">
        <v>1</v>
      </c>
      <c r="D574" s="1">
        <v>2000000</v>
      </c>
      <c r="E574" s="1"/>
      <c r="F574" s="1"/>
      <c r="G574" s="1"/>
      <c r="H574" s="1"/>
      <c r="I574" s="1"/>
    </row>
    <row r="575" spans="1:9" x14ac:dyDescent="0.3">
      <c r="A575" t="s">
        <v>10</v>
      </c>
      <c r="B575" t="s">
        <v>535</v>
      </c>
      <c r="C575" s="1"/>
      <c r="D575" s="1">
        <v>1800000</v>
      </c>
      <c r="E575" s="1"/>
      <c r="F575" s="1"/>
      <c r="G575" s="1"/>
      <c r="H575" s="1"/>
      <c r="I575" s="1"/>
    </row>
    <row r="576" spans="1:9" x14ac:dyDescent="0.3">
      <c r="A576" t="s">
        <v>10</v>
      </c>
      <c r="B576" t="s">
        <v>536</v>
      </c>
      <c r="C576" s="1">
        <v>11</v>
      </c>
      <c r="D576" s="1">
        <v>1700000</v>
      </c>
      <c r="E576" s="1"/>
      <c r="F576" s="1"/>
      <c r="G576" s="1"/>
      <c r="H576" s="1"/>
      <c r="I576" s="1"/>
    </row>
    <row r="577" spans="1:9" x14ac:dyDescent="0.3">
      <c r="A577" t="s">
        <v>10</v>
      </c>
      <c r="B577" t="s">
        <v>537</v>
      </c>
      <c r="C577" s="1">
        <v>15</v>
      </c>
      <c r="D577" s="1">
        <v>2200000</v>
      </c>
      <c r="E577" s="1"/>
      <c r="F577" s="1"/>
      <c r="G577" s="1"/>
      <c r="H577" s="1"/>
      <c r="I577" s="1"/>
    </row>
    <row r="578" spans="1:9" x14ac:dyDescent="0.3">
      <c r="A578" t="s">
        <v>10</v>
      </c>
      <c r="B578" t="s">
        <v>538</v>
      </c>
      <c r="C578" s="1">
        <v>1</v>
      </c>
      <c r="D578" s="1">
        <v>2200000</v>
      </c>
      <c r="E578" s="1"/>
      <c r="F578" s="1"/>
      <c r="G578" s="1"/>
      <c r="H578" s="1"/>
      <c r="I578" s="1"/>
    </row>
    <row r="579" spans="1:9" x14ac:dyDescent="0.3">
      <c r="A579" t="s">
        <v>10</v>
      </c>
      <c r="B579" t="s">
        <v>539</v>
      </c>
      <c r="C579" s="1"/>
      <c r="D579" s="1">
        <v>5499000</v>
      </c>
      <c r="E579" s="1"/>
      <c r="F579" s="1"/>
      <c r="G579" s="1"/>
      <c r="H579" s="1"/>
      <c r="I579" s="1"/>
    </row>
    <row r="580" spans="1:9" x14ac:dyDescent="0.3">
      <c r="A580" t="s">
        <v>10</v>
      </c>
      <c r="B580" t="s">
        <v>540</v>
      </c>
      <c r="C580" s="1">
        <v>2</v>
      </c>
      <c r="D580" s="1">
        <v>1500000</v>
      </c>
      <c r="E580" s="1"/>
      <c r="F580" s="1"/>
      <c r="G580" s="1"/>
      <c r="H580" s="1"/>
      <c r="I580" s="1"/>
    </row>
    <row r="581" spans="1:9" x14ac:dyDescent="0.3">
      <c r="A581" t="s">
        <v>10</v>
      </c>
      <c r="B581" t="s">
        <v>541</v>
      </c>
      <c r="C581" s="1">
        <v>1</v>
      </c>
      <c r="D581" s="1">
        <v>6799000</v>
      </c>
      <c r="E581" s="1"/>
      <c r="F581" s="1"/>
      <c r="G581" s="1"/>
      <c r="H581" s="1"/>
      <c r="I581" s="1"/>
    </row>
    <row r="582" spans="1:9" x14ac:dyDescent="0.3">
      <c r="A582" t="s">
        <v>10</v>
      </c>
      <c r="B582" t="s">
        <v>542</v>
      </c>
      <c r="C582" s="1">
        <v>8</v>
      </c>
      <c r="D582" s="1">
        <v>2000000</v>
      </c>
      <c r="E582" s="1"/>
      <c r="F582" s="1"/>
      <c r="G582" s="1"/>
      <c r="H582" s="1"/>
      <c r="I582" s="1"/>
    </row>
    <row r="583" spans="1:9" x14ac:dyDescent="0.3">
      <c r="A583" t="s">
        <v>10</v>
      </c>
      <c r="B583" t="s">
        <v>543</v>
      </c>
      <c r="C583" s="1"/>
      <c r="D583" s="1">
        <v>1800000</v>
      </c>
      <c r="E583" s="1"/>
      <c r="F583" s="1"/>
      <c r="G583" s="1"/>
      <c r="H583" s="1"/>
      <c r="I583" s="1"/>
    </row>
    <row r="584" spans="1:9" x14ac:dyDescent="0.3">
      <c r="A584" t="s">
        <v>10</v>
      </c>
      <c r="B584" t="s">
        <v>544</v>
      </c>
      <c r="C584" s="1">
        <v>3</v>
      </c>
      <c r="D584" s="1">
        <v>2500000</v>
      </c>
      <c r="E584" s="1"/>
      <c r="F584" s="1"/>
      <c r="G584" s="1"/>
      <c r="H584" s="1"/>
      <c r="I584" s="1"/>
    </row>
    <row r="585" spans="1:9" x14ac:dyDescent="0.3">
      <c r="A585" t="s">
        <v>10</v>
      </c>
      <c r="B585" t="s">
        <v>545</v>
      </c>
      <c r="C585" s="1"/>
      <c r="D585" s="1">
        <v>9499000</v>
      </c>
      <c r="E585" s="1"/>
      <c r="F585" s="1"/>
      <c r="G585" s="1"/>
      <c r="H585" s="1"/>
      <c r="I585" s="1"/>
    </row>
    <row r="586" spans="1:9" x14ac:dyDescent="0.3">
      <c r="A586" t="s">
        <v>10</v>
      </c>
      <c r="B586" t="s">
        <v>546</v>
      </c>
      <c r="C586" s="1"/>
      <c r="D586" s="1">
        <v>2200000</v>
      </c>
      <c r="E586" s="1"/>
      <c r="F586" s="1"/>
      <c r="G586" s="1"/>
      <c r="H586" s="1"/>
      <c r="I586" s="1"/>
    </row>
    <row r="587" spans="1:9" x14ac:dyDescent="0.3">
      <c r="A587" t="s">
        <v>10</v>
      </c>
      <c r="B587" t="s">
        <v>547</v>
      </c>
      <c r="C587" s="1">
        <v>1</v>
      </c>
      <c r="D587" s="1">
        <v>2500000</v>
      </c>
      <c r="E587" s="1"/>
      <c r="F587" s="1"/>
      <c r="G587" s="1"/>
      <c r="H587" s="1"/>
      <c r="I587" s="1"/>
    </row>
    <row r="588" spans="1:9" x14ac:dyDescent="0.3">
      <c r="A588" t="s">
        <v>10</v>
      </c>
      <c r="B588" t="s">
        <v>548</v>
      </c>
      <c r="C588" s="1"/>
      <c r="D588" s="1">
        <v>3900000</v>
      </c>
      <c r="E588" s="1"/>
      <c r="F588" s="1"/>
      <c r="G588" s="1"/>
      <c r="H588" s="1"/>
      <c r="I588" s="1"/>
    </row>
    <row r="589" spans="1:9" x14ac:dyDescent="0.3">
      <c r="A589" t="s">
        <v>10</v>
      </c>
      <c r="B589" t="s">
        <v>548</v>
      </c>
      <c r="C589" s="1">
        <v>1</v>
      </c>
      <c r="D589" s="1">
        <v>2100000</v>
      </c>
      <c r="E589" s="1"/>
      <c r="F589" s="1"/>
      <c r="G589" s="1"/>
      <c r="H589" s="1"/>
      <c r="I589" s="1"/>
    </row>
    <row r="590" spans="1:9" x14ac:dyDescent="0.3">
      <c r="A590" t="s">
        <v>10</v>
      </c>
      <c r="B590" t="s">
        <v>548</v>
      </c>
      <c r="C590" s="1"/>
      <c r="D590" s="1">
        <v>2400000</v>
      </c>
      <c r="E590" s="1"/>
      <c r="F590" s="1"/>
      <c r="G590" s="1"/>
      <c r="H590" s="1"/>
      <c r="I590" s="1"/>
    </row>
    <row r="591" spans="1:9" x14ac:dyDescent="0.3">
      <c r="A591" t="s">
        <v>10</v>
      </c>
      <c r="B591" t="s">
        <v>549</v>
      </c>
      <c r="C591" s="1"/>
      <c r="D591" s="1">
        <v>12199000</v>
      </c>
      <c r="E591" s="1"/>
      <c r="F591" s="1"/>
      <c r="G591" s="1"/>
      <c r="H591" s="1"/>
      <c r="I591" s="1"/>
    </row>
    <row r="592" spans="1:9" x14ac:dyDescent="0.3">
      <c r="A592" t="s">
        <v>10</v>
      </c>
      <c r="B592" t="s">
        <v>550</v>
      </c>
      <c r="C592" s="1"/>
      <c r="D592" s="1">
        <v>2200000</v>
      </c>
      <c r="E592" s="1"/>
      <c r="F592" s="1"/>
      <c r="G592" s="1"/>
      <c r="H592" s="1"/>
      <c r="I592" s="1"/>
    </row>
    <row r="593" spans="1:9" x14ac:dyDescent="0.3">
      <c r="A593" t="s">
        <v>10</v>
      </c>
      <c r="B593" t="s">
        <v>551</v>
      </c>
      <c r="C593" s="1">
        <v>1</v>
      </c>
      <c r="D593" s="1">
        <v>2600000</v>
      </c>
      <c r="E593" s="1"/>
      <c r="F593" s="1"/>
      <c r="G593" s="1"/>
      <c r="H593" s="1"/>
      <c r="I593" s="1"/>
    </row>
    <row r="594" spans="1:9" x14ac:dyDescent="0.3">
      <c r="A594" t="s">
        <v>10</v>
      </c>
      <c r="B594" t="s">
        <v>552</v>
      </c>
      <c r="C594" s="1"/>
      <c r="D594" s="1">
        <v>2200000</v>
      </c>
      <c r="E594" s="1"/>
      <c r="F594" s="1"/>
      <c r="G594" s="1"/>
      <c r="H594" s="1"/>
      <c r="I594" s="1"/>
    </row>
    <row r="595" spans="1:9" x14ac:dyDescent="0.3">
      <c r="A595" t="s">
        <v>10</v>
      </c>
      <c r="B595" t="s">
        <v>553</v>
      </c>
      <c r="C595" s="1">
        <v>1</v>
      </c>
      <c r="D595" s="1">
        <v>3700000</v>
      </c>
      <c r="E595" s="1"/>
      <c r="F595" s="1"/>
      <c r="G595" s="1"/>
      <c r="H595" s="1"/>
      <c r="I595" s="1"/>
    </row>
    <row r="596" spans="1:9" x14ac:dyDescent="0.3">
      <c r="A596" t="s">
        <v>10</v>
      </c>
      <c r="B596" t="s">
        <v>554</v>
      </c>
      <c r="C596" s="1"/>
      <c r="D596" s="1">
        <v>3300000</v>
      </c>
      <c r="E596" s="1"/>
      <c r="F596" s="1"/>
      <c r="G596" s="1"/>
      <c r="H596" s="1"/>
      <c r="I596" s="1"/>
    </row>
    <row r="597" spans="1:9" x14ac:dyDescent="0.3">
      <c r="A597" t="s">
        <v>10</v>
      </c>
      <c r="B597" t="s">
        <v>555</v>
      </c>
      <c r="C597" s="1"/>
      <c r="D597" s="1">
        <v>2900000</v>
      </c>
      <c r="E597" s="1"/>
      <c r="F597" s="1"/>
      <c r="G597" s="1"/>
      <c r="H597" s="1"/>
      <c r="I597" s="1"/>
    </row>
    <row r="598" spans="1:9" x14ac:dyDescent="0.3">
      <c r="A598" t="s">
        <v>10</v>
      </c>
      <c r="B598" t="s">
        <v>556</v>
      </c>
      <c r="C598" s="1"/>
      <c r="D598" s="1">
        <v>2900000</v>
      </c>
      <c r="E598" s="1"/>
      <c r="F598" s="1"/>
      <c r="G598" s="1"/>
      <c r="H598" s="1"/>
      <c r="I598" s="1"/>
    </row>
    <row r="599" spans="1:9" x14ac:dyDescent="0.3">
      <c r="A599" t="s">
        <v>10</v>
      </c>
      <c r="B599" t="s">
        <v>557</v>
      </c>
      <c r="C599" s="1">
        <v>0</v>
      </c>
      <c r="D599" s="1">
        <v>3900000</v>
      </c>
      <c r="E599" s="1"/>
      <c r="F599" s="1"/>
      <c r="G599" s="1"/>
      <c r="H599" s="1"/>
      <c r="I599" s="1"/>
    </row>
    <row r="600" spans="1:9" x14ac:dyDescent="0.3">
      <c r="A600" t="s">
        <v>10</v>
      </c>
      <c r="B600" t="s">
        <v>558</v>
      </c>
      <c r="C600" s="1"/>
      <c r="D600" s="1">
        <v>3200000</v>
      </c>
      <c r="E600" s="1"/>
      <c r="F600" s="1"/>
      <c r="G600" s="1"/>
      <c r="H600" s="1"/>
      <c r="I600" s="1"/>
    </row>
    <row r="601" spans="1:9" x14ac:dyDescent="0.3">
      <c r="A601" t="s">
        <v>10</v>
      </c>
      <c r="B601" t="s">
        <v>559</v>
      </c>
      <c r="C601" s="1"/>
      <c r="D601" s="1">
        <v>3600000</v>
      </c>
      <c r="E601" s="1"/>
      <c r="F601" s="1"/>
      <c r="G601" s="1"/>
      <c r="H601" s="1"/>
      <c r="I601" s="1"/>
    </row>
    <row r="602" spans="1:9" x14ac:dyDescent="0.3">
      <c r="A602" t="s">
        <v>10</v>
      </c>
      <c r="B602" t="s">
        <v>560</v>
      </c>
      <c r="C602" s="1"/>
      <c r="D602" s="1">
        <v>3400000</v>
      </c>
      <c r="E602" s="1"/>
      <c r="F602" s="1"/>
      <c r="G602" s="1"/>
      <c r="H602" s="1"/>
      <c r="I602" s="1"/>
    </row>
    <row r="603" spans="1:9" x14ac:dyDescent="0.3">
      <c r="A603" t="s">
        <v>10</v>
      </c>
      <c r="B603" t="s">
        <v>561</v>
      </c>
      <c r="C603" s="1">
        <v>1</v>
      </c>
      <c r="D603" s="1">
        <v>2600000</v>
      </c>
      <c r="E603" s="1"/>
      <c r="F603" s="1"/>
      <c r="G603" s="1"/>
      <c r="H603" s="1"/>
      <c r="I603" s="1"/>
    </row>
    <row r="604" spans="1:9" x14ac:dyDescent="0.3">
      <c r="A604" t="s">
        <v>10</v>
      </c>
      <c r="B604" t="s">
        <v>562</v>
      </c>
      <c r="C604" s="1"/>
      <c r="D604" s="1">
        <v>2200000</v>
      </c>
      <c r="E604" s="1"/>
      <c r="F604" s="1"/>
      <c r="G604" s="1"/>
      <c r="H604" s="1"/>
      <c r="I604" s="1"/>
    </row>
    <row r="605" spans="1:9" x14ac:dyDescent="0.3">
      <c r="A605" t="s">
        <v>10</v>
      </c>
      <c r="B605" t="s">
        <v>563</v>
      </c>
      <c r="C605" s="1"/>
      <c r="D605" s="1">
        <v>2200000</v>
      </c>
      <c r="E605" s="1"/>
      <c r="F605" s="1"/>
      <c r="G605" s="1"/>
      <c r="H605" s="1"/>
      <c r="I605" s="1"/>
    </row>
    <row r="606" spans="1:9" x14ac:dyDescent="0.3">
      <c r="A606" t="s">
        <v>10</v>
      </c>
      <c r="B606" t="s">
        <v>564</v>
      </c>
      <c r="C606" s="1"/>
      <c r="D606" s="1">
        <v>2200000</v>
      </c>
      <c r="E606" s="1"/>
      <c r="F606" s="1"/>
      <c r="G606" s="1"/>
      <c r="H606" s="1"/>
      <c r="I606" s="1"/>
    </row>
    <row r="607" spans="1:9" x14ac:dyDescent="0.3">
      <c r="A607" t="s">
        <v>10</v>
      </c>
      <c r="B607" t="s">
        <v>565</v>
      </c>
      <c r="C607" s="1"/>
      <c r="D607" s="1">
        <v>2400000</v>
      </c>
      <c r="E607" s="1"/>
      <c r="F607" s="1"/>
      <c r="G607" s="1"/>
      <c r="H607" s="1"/>
      <c r="I607" s="1"/>
    </row>
    <row r="608" spans="1:9" x14ac:dyDescent="0.3">
      <c r="A608" t="s">
        <v>10</v>
      </c>
      <c r="B608" t="s">
        <v>566</v>
      </c>
      <c r="C608" s="1">
        <v>1</v>
      </c>
      <c r="D608" s="1">
        <v>7500000</v>
      </c>
      <c r="E608" s="1"/>
      <c r="F608" s="1"/>
      <c r="G608" s="1"/>
      <c r="H608" s="1"/>
      <c r="I608" s="1"/>
    </row>
    <row r="609" spans="1:9" x14ac:dyDescent="0.3">
      <c r="A609" t="s">
        <v>10</v>
      </c>
      <c r="B609" t="s">
        <v>567</v>
      </c>
      <c r="C609" s="1"/>
      <c r="D609" s="1">
        <v>6000000</v>
      </c>
      <c r="E609" s="1"/>
      <c r="F609" s="1"/>
      <c r="G609" s="1"/>
      <c r="H609" s="1"/>
      <c r="I609" s="1"/>
    </row>
    <row r="610" spans="1:9" x14ac:dyDescent="0.3">
      <c r="A610" t="s">
        <v>10</v>
      </c>
      <c r="B610" t="s">
        <v>568</v>
      </c>
      <c r="C610" s="1">
        <v>1</v>
      </c>
      <c r="D610" s="1">
        <v>2700000</v>
      </c>
      <c r="E610" s="1"/>
      <c r="F610" s="1"/>
      <c r="G610" s="1"/>
      <c r="H610" s="1"/>
      <c r="I610" s="1"/>
    </row>
    <row r="611" spans="1:9" x14ac:dyDescent="0.3">
      <c r="A611" t="s">
        <v>10</v>
      </c>
      <c r="B611" t="s">
        <v>569</v>
      </c>
      <c r="C611" s="1">
        <v>1</v>
      </c>
      <c r="D611" s="1">
        <v>4500000</v>
      </c>
      <c r="E611" s="1"/>
      <c r="F611" s="1"/>
      <c r="G611" s="1"/>
      <c r="H611" s="1"/>
      <c r="I611" s="1"/>
    </row>
    <row r="612" spans="1:9" x14ac:dyDescent="0.3">
      <c r="A612" t="s">
        <v>10</v>
      </c>
      <c r="B612" t="s">
        <v>570</v>
      </c>
      <c r="C612" s="1">
        <v>3</v>
      </c>
      <c r="D612" s="1">
        <v>3100000</v>
      </c>
      <c r="E612" s="1"/>
      <c r="F612" s="1"/>
      <c r="G612" s="1"/>
      <c r="H612" s="1"/>
      <c r="I612" s="1"/>
    </row>
    <row r="613" spans="1:9" x14ac:dyDescent="0.3">
      <c r="A613" t="s">
        <v>10</v>
      </c>
      <c r="B613" t="s">
        <v>571</v>
      </c>
      <c r="C613" s="1"/>
      <c r="D613" s="1">
        <v>2700000</v>
      </c>
      <c r="E613" s="1"/>
      <c r="F613" s="1"/>
      <c r="G613" s="1"/>
      <c r="H613" s="1"/>
      <c r="I613" s="1"/>
    </row>
    <row r="614" spans="1:9" x14ac:dyDescent="0.3">
      <c r="A614" t="s">
        <v>10</v>
      </c>
      <c r="B614" t="s">
        <v>572</v>
      </c>
      <c r="C614" s="1"/>
      <c r="D614" s="1">
        <v>3100000</v>
      </c>
      <c r="E614" s="1"/>
      <c r="F614" s="1"/>
      <c r="G614" s="1"/>
      <c r="H614" s="1"/>
      <c r="I614" s="1"/>
    </row>
    <row r="615" spans="1:9" x14ac:dyDescent="0.3">
      <c r="A615" t="s">
        <v>10</v>
      </c>
      <c r="B615" t="s">
        <v>573</v>
      </c>
      <c r="C615" s="1"/>
      <c r="D615" s="1">
        <v>2700000</v>
      </c>
      <c r="E615" s="1"/>
      <c r="F615" s="1"/>
      <c r="G615" s="1"/>
      <c r="H615" s="1"/>
      <c r="I615" s="1"/>
    </row>
    <row r="616" spans="1:9" x14ac:dyDescent="0.3">
      <c r="A616" t="s">
        <v>10</v>
      </c>
      <c r="B616" t="s">
        <v>574</v>
      </c>
      <c r="C616" s="1">
        <v>2</v>
      </c>
      <c r="D616" s="1">
        <v>3100000</v>
      </c>
      <c r="E616" s="1"/>
      <c r="F616" s="1"/>
      <c r="G616" s="1"/>
      <c r="H616" s="1"/>
      <c r="I616" s="1"/>
    </row>
    <row r="617" spans="1:9" x14ac:dyDescent="0.3">
      <c r="A617" t="s">
        <v>10</v>
      </c>
      <c r="B617" t="s">
        <v>575</v>
      </c>
      <c r="C617" s="1"/>
      <c r="D617" s="1">
        <v>2700000</v>
      </c>
      <c r="E617" s="1"/>
      <c r="F617" s="1"/>
      <c r="G617" s="1"/>
      <c r="H617" s="1"/>
      <c r="I617" s="1"/>
    </row>
    <row r="618" spans="1:9" x14ac:dyDescent="0.3">
      <c r="A618" t="s">
        <v>10</v>
      </c>
      <c r="B618" t="s">
        <v>576</v>
      </c>
      <c r="C618" s="1"/>
      <c r="D618" s="1">
        <v>5000000</v>
      </c>
      <c r="E618" s="1"/>
      <c r="F618" s="1"/>
      <c r="G618" s="1"/>
      <c r="H618" s="1"/>
      <c r="I618" s="1"/>
    </row>
    <row r="619" spans="1:9" x14ac:dyDescent="0.3">
      <c r="A619" t="s">
        <v>10</v>
      </c>
      <c r="B619" t="s">
        <v>577</v>
      </c>
      <c r="C619" s="1"/>
      <c r="D619" s="1">
        <v>4700000</v>
      </c>
      <c r="E619" s="1"/>
      <c r="F619" s="1"/>
      <c r="G619" s="1"/>
      <c r="H619" s="1"/>
      <c r="I619" s="1"/>
    </row>
    <row r="620" spans="1:9" x14ac:dyDescent="0.3">
      <c r="A620" t="s">
        <v>10</v>
      </c>
      <c r="B620" t="s">
        <v>578</v>
      </c>
      <c r="C620" s="1"/>
      <c r="D620" s="1">
        <v>4000000</v>
      </c>
      <c r="E620" s="1"/>
      <c r="F620" s="1"/>
      <c r="G620" s="1"/>
      <c r="H620" s="1"/>
      <c r="I620" s="1"/>
    </row>
    <row r="621" spans="1:9" x14ac:dyDescent="0.3">
      <c r="A621" t="s">
        <v>10</v>
      </c>
      <c r="B621" t="s">
        <v>579</v>
      </c>
      <c r="C621" s="1">
        <v>1</v>
      </c>
      <c r="D621" s="1">
        <v>4200000</v>
      </c>
      <c r="E621" s="1"/>
      <c r="F621" s="1"/>
      <c r="G621" s="1"/>
      <c r="H621" s="1"/>
      <c r="I621" s="1">
        <v>1</v>
      </c>
    </row>
    <row r="622" spans="1:9" x14ac:dyDescent="0.3">
      <c r="A622" t="s">
        <v>10</v>
      </c>
      <c r="B622" t="s">
        <v>580</v>
      </c>
      <c r="C622" s="1"/>
      <c r="D622" s="1">
        <v>3900000</v>
      </c>
      <c r="E622" s="1"/>
      <c r="F622" s="1"/>
      <c r="G622" s="1"/>
      <c r="H622" s="1"/>
      <c r="I622" s="1"/>
    </row>
    <row r="623" spans="1:9" x14ac:dyDescent="0.3">
      <c r="A623" t="s">
        <v>10</v>
      </c>
      <c r="B623" t="s">
        <v>581</v>
      </c>
      <c r="C623" s="1"/>
      <c r="D623" s="1">
        <v>3500000</v>
      </c>
      <c r="E623" s="1"/>
      <c r="F623" s="1"/>
      <c r="G623" s="1"/>
      <c r="H623" s="1"/>
      <c r="I623" s="1"/>
    </row>
    <row r="624" spans="1:9" x14ac:dyDescent="0.3">
      <c r="A624" t="s">
        <v>10</v>
      </c>
      <c r="B624" t="s">
        <v>582</v>
      </c>
      <c r="C624" s="1"/>
      <c r="D624" s="1">
        <v>3500000</v>
      </c>
      <c r="E624" s="1"/>
      <c r="F624" s="1"/>
      <c r="G624" s="1"/>
      <c r="H624" s="1"/>
      <c r="I624" s="1"/>
    </row>
    <row r="625" spans="1:9" x14ac:dyDescent="0.3">
      <c r="A625" t="s">
        <v>10</v>
      </c>
      <c r="B625" t="s">
        <v>583</v>
      </c>
      <c r="C625" s="1">
        <v>1</v>
      </c>
      <c r="D625" s="1">
        <v>4300000</v>
      </c>
      <c r="E625" s="1"/>
      <c r="F625" s="1"/>
      <c r="G625" s="1"/>
      <c r="H625" s="1"/>
      <c r="I625" s="1"/>
    </row>
    <row r="626" spans="1:9" x14ac:dyDescent="0.3">
      <c r="A626" t="s">
        <v>10</v>
      </c>
      <c r="B626" t="s">
        <v>584</v>
      </c>
      <c r="C626" s="1"/>
      <c r="D626" s="1">
        <v>4500000</v>
      </c>
      <c r="E626" s="1"/>
      <c r="F626" s="1"/>
      <c r="G626" s="1"/>
      <c r="H626" s="1"/>
      <c r="I626" s="1"/>
    </row>
    <row r="627" spans="1:9" x14ac:dyDescent="0.3">
      <c r="A627" t="s">
        <v>10</v>
      </c>
      <c r="B627" t="s">
        <v>585</v>
      </c>
      <c r="C627" s="1">
        <v>2</v>
      </c>
      <c r="D627" s="1">
        <v>4500000</v>
      </c>
      <c r="E627" s="1"/>
      <c r="F627" s="1"/>
      <c r="G627" s="1"/>
      <c r="H627" s="1"/>
      <c r="I627" s="1"/>
    </row>
    <row r="628" spans="1:9" x14ac:dyDescent="0.3">
      <c r="A628" t="s">
        <v>10</v>
      </c>
      <c r="B628" t="s">
        <v>586</v>
      </c>
      <c r="C628" s="1">
        <v>2</v>
      </c>
      <c r="D628" s="1">
        <v>5100000</v>
      </c>
      <c r="E628" s="1"/>
      <c r="F628" s="1"/>
      <c r="G628" s="1"/>
      <c r="H628" s="1"/>
      <c r="I628" s="1"/>
    </row>
    <row r="629" spans="1:9" x14ac:dyDescent="0.3">
      <c r="A629" t="s">
        <v>10</v>
      </c>
      <c r="B629" t="s">
        <v>587</v>
      </c>
      <c r="C629" s="1"/>
      <c r="D629" s="1">
        <v>5100000</v>
      </c>
      <c r="E629" s="1"/>
      <c r="F629" s="1"/>
      <c r="G629" s="1"/>
      <c r="H629" s="1"/>
      <c r="I629" s="1"/>
    </row>
    <row r="630" spans="1:9" x14ac:dyDescent="0.3">
      <c r="A630" t="s">
        <v>10</v>
      </c>
      <c r="B630" t="s">
        <v>588</v>
      </c>
      <c r="C630" s="1"/>
      <c r="D630" s="1">
        <v>4700000</v>
      </c>
      <c r="E630" s="1"/>
      <c r="F630" s="1"/>
      <c r="G630" s="1"/>
      <c r="H630" s="1"/>
      <c r="I630" s="1"/>
    </row>
    <row r="631" spans="1:9" x14ac:dyDescent="0.3">
      <c r="A631" t="s">
        <v>10</v>
      </c>
      <c r="B631" t="s">
        <v>589</v>
      </c>
      <c r="C631" s="1"/>
      <c r="D631" s="1">
        <v>8000000</v>
      </c>
      <c r="E631" s="1"/>
      <c r="F631" s="1"/>
      <c r="G631" s="1"/>
      <c r="H631" s="1"/>
      <c r="I631" s="1"/>
    </row>
    <row r="632" spans="1:9" x14ac:dyDescent="0.3">
      <c r="A632" t="s">
        <v>10</v>
      </c>
      <c r="B632" t="s">
        <v>590</v>
      </c>
      <c r="C632" s="1">
        <v>2</v>
      </c>
      <c r="D632" s="1">
        <v>5100000</v>
      </c>
      <c r="E632" s="1"/>
      <c r="F632" s="1"/>
      <c r="G632" s="1"/>
      <c r="H632" s="1"/>
      <c r="I632" s="1"/>
    </row>
    <row r="633" spans="1:9" x14ac:dyDescent="0.3">
      <c r="A633" t="s">
        <v>10</v>
      </c>
      <c r="B633" t="s">
        <v>591</v>
      </c>
      <c r="C633" s="1"/>
      <c r="D633" s="1">
        <v>4700000</v>
      </c>
      <c r="E633" s="1"/>
      <c r="F633" s="1"/>
      <c r="G633" s="1"/>
      <c r="H633" s="1"/>
      <c r="I633" s="1"/>
    </row>
    <row r="634" spans="1:9" x14ac:dyDescent="0.3">
      <c r="A634" t="s">
        <v>10</v>
      </c>
      <c r="B634" t="s">
        <v>592</v>
      </c>
      <c r="C634" s="1"/>
      <c r="D634" s="1">
        <v>4500000</v>
      </c>
      <c r="E634" s="1"/>
      <c r="F634" s="1"/>
      <c r="G634" s="1"/>
      <c r="H634" s="1"/>
      <c r="I634" s="1"/>
    </row>
    <row r="635" spans="1:9" x14ac:dyDescent="0.3">
      <c r="A635" t="s">
        <v>10</v>
      </c>
      <c r="B635" t="s">
        <v>593</v>
      </c>
      <c r="C635" s="1"/>
      <c r="D635" s="1">
        <v>6500000</v>
      </c>
      <c r="E635" s="1"/>
      <c r="F635" s="1"/>
      <c r="G635" s="1"/>
      <c r="H635" s="1"/>
      <c r="I635" s="1"/>
    </row>
    <row r="636" spans="1:9" x14ac:dyDescent="0.3">
      <c r="A636" t="s">
        <v>10</v>
      </c>
      <c r="B636" t="s">
        <v>594</v>
      </c>
      <c r="C636" s="1"/>
      <c r="D636" s="1">
        <v>9000000</v>
      </c>
      <c r="E636" s="1"/>
      <c r="F636" s="1"/>
      <c r="G636" s="1"/>
      <c r="H636" s="1"/>
      <c r="I636" s="1"/>
    </row>
    <row r="637" spans="1:9" x14ac:dyDescent="0.3">
      <c r="A637" t="s">
        <v>10</v>
      </c>
      <c r="B637" t="s">
        <v>595</v>
      </c>
      <c r="C637" s="1"/>
      <c r="D637" s="1">
        <v>4100000</v>
      </c>
      <c r="E637" s="1"/>
      <c r="F637" s="1"/>
      <c r="G637" s="1"/>
      <c r="H637" s="1"/>
      <c r="I637" s="1"/>
    </row>
    <row r="638" spans="1:9" x14ac:dyDescent="0.3">
      <c r="A638" t="s">
        <v>10</v>
      </c>
      <c r="B638" t="s">
        <v>596</v>
      </c>
      <c r="C638" s="1">
        <v>2</v>
      </c>
      <c r="D638" s="1">
        <v>4900000</v>
      </c>
      <c r="E638" s="1"/>
      <c r="F638" s="1"/>
      <c r="G638" s="1"/>
      <c r="H638" s="1"/>
      <c r="I638" s="1"/>
    </row>
    <row r="639" spans="1:9" x14ac:dyDescent="0.3">
      <c r="A639" t="s">
        <v>10</v>
      </c>
      <c r="B639" t="s">
        <v>597</v>
      </c>
      <c r="C639" s="1"/>
      <c r="D639" s="1">
        <v>9000000</v>
      </c>
      <c r="E639" s="1"/>
      <c r="F639" s="1"/>
      <c r="G639" s="1"/>
      <c r="H639" s="1"/>
      <c r="I639" s="1"/>
    </row>
    <row r="640" spans="1:9" x14ac:dyDescent="0.3">
      <c r="A640" t="s">
        <v>10</v>
      </c>
      <c r="B640" t="s">
        <v>598</v>
      </c>
      <c r="C640" s="1"/>
      <c r="D640" s="1">
        <v>4100000</v>
      </c>
      <c r="E640" s="1"/>
      <c r="F640" s="1"/>
      <c r="G640" s="1"/>
      <c r="H640" s="1"/>
      <c r="I640" s="1"/>
    </row>
    <row r="641" spans="1:9" x14ac:dyDescent="0.3">
      <c r="A641" t="s">
        <v>10</v>
      </c>
      <c r="B641" t="s">
        <v>599</v>
      </c>
      <c r="C641" s="1"/>
      <c r="D641" s="1">
        <v>5600000</v>
      </c>
      <c r="E641" s="1"/>
      <c r="F641" s="1"/>
      <c r="G641" s="1"/>
      <c r="H641" s="1"/>
      <c r="I641" s="1"/>
    </row>
    <row r="642" spans="1:9" x14ac:dyDescent="0.3">
      <c r="A642" t="s">
        <v>10</v>
      </c>
      <c r="B642" t="s">
        <v>600</v>
      </c>
      <c r="C642" s="1"/>
      <c r="D642" s="1">
        <v>8000000</v>
      </c>
      <c r="E642" s="1"/>
      <c r="F642" s="1"/>
      <c r="G642" s="1"/>
      <c r="H642" s="1"/>
      <c r="I642" s="1"/>
    </row>
    <row r="643" spans="1:9" x14ac:dyDescent="0.3">
      <c r="A643" t="s">
        <v>10</v>
      </c>
      <c r="B643" t="s">
        <v>601</v>
      </c>
      <c r="C643" s="1"/>
      <c r="D643" s="1">
        <v>3800000</v>
      </c>
      <c r="E643" s="1"/>
      <c r="F643" s="1"/>
      <c r="G643" s="1"/>
      <c r="H643" s="1"/>
      <c r="I643" s="1"/>
    </row>
    <row r="644" spans="1:9" x14ac:dyDescent="0.3">
      <c r="A644" t="s">
        <v>10</v>
      </c>
      <c r="B644" t="s">
        <v>602</v>
      </c>
      <c r="C644" s="1"/>
      <c r="D644" s="1">
        <v>8000000</v>
      </c>
      <c r="E644" s="1"/>
      <c r="F644" s="1"/>
      <c r="G644" s="1"/>
      <c r="H644" s="1"/>
      <c r="I644" s="1"/>
    </row>
    <row r="645" spans="1:9" x14ac:dyDescent="0.3">
      <c r="A645" t="s">
        <v>10</v>
      </c>
      <c r="B645" t="s">
        <v>603</v>
      </c>
      <c r="C645" s="1"/>
      <c r="D645" s="1">
        <v>3400000</v>
      </c>
      <c r="E645" s="1"/>
      <c r="F645" s="1"/>
      <c r="G645" s="1"/>
      <c r="H645" s="1"/>
      <c r="I645" s="1"/>
    </row>
    <row r="646" spans="1:9" x14ac:dyDescent="0.3">
      <c r="A646" t="s">
        <v>10</v>
      </c>
      <c r="B646" t="s">
        <v>604</v>
      </c>
      <c r="C646" s="1"/>
      <c r="D646" s="1">
        <v>8000000</v>
      </c>
      <c r="E646" s="1"/>
      <c r="F646" s="1"/>
      <c r="G646" s="1"/>
      <c r="H646" s="1"/>
      <c r="I646" s="1"/>
    </row>
    <row r="647" spans="1:9" x14ac:dyDescent="0.3">
      <c r="A647" t="s">
        <v>10</v>
      </c>
      <c r="B647" t="s">
        <v>605</v>
      </c>
      <c r="C647" s="1">
        <v>1</v>
      </c>
      <c r="D647" s="1">
        <v>5500000</v>
      </c>
      <c r="E647" s="1"/>
      <c r="F647" s="1"/>
      <c r="G647" s="1"/>
      <c r="H647" s="1"/>
      <c r="I647" s="1"/>
    </row>
    <row r="648" spans="1:9" x14ac:dyDescent="0.3">
      <c r="A648" t="s">
        <v>10</v>
      </c>
      <c r="B648" t="s">
        <v>606</v>
      </c>
      <c r="C648" s="1"/>
      <c r="D648" s="1">
        <v>3650000</v>
      </c>
      <c r="E648" s="1"/>
      <c r="F648" s="1"/>
      <c r="G648" s="1"/>
      <c r="H648" s="1"/>
      <c r="I648" s="1"/>
    </row>
    <row r="649" spans="1:9" x14ac:dyDescent="0.3">
      <c r="A649" t="s">
        <v>10</v>
      </c>
      <c r="B649" t="s">
        <v>607</v>
      </c>
      <c r="C649" s="1"/>
      <c r="D649" s="1">
        <v>8000000</v>
      </c>
      <c r="E649" s="1"/>
      <c r="F649" s="1"/>
      <c r="G649" s="1"/>
      <c r="H649" s="1"/>
      <c r="I649" s="1"/>
    </row>
    <row r="650" spans="1:9" x14ac:dyDescent="0.3">
      <c r="A650" t="s">
        <v>10</v>
      </c>
      <c r="B650" t="s">
        <v>608</v>
      </c>
      <c r="C650" s="1"/>
      <c r="D650" s="1">
        <v>3400000</v>
      </c>
      <c r="E650" s="1"/>
      <c r="F650" s="1"/>
      <c r="G650" s="1"/>
      <c r="H650" s="1"/>
      <c r="I650" s="1"/>
    </row>
    <row r="651" spans="1:9" x14ac:dyDescent="0.3">
      <c r="A651" t="s">
        <v>10</v>
      </c>
      <c r="B651" t="s">
        <v>609</v>
      </c>
      <c r="C651" s="1">
        <v>1</v>
      </c>
      <c r="D651" s="1">
        <v>8950000</v>
      </c>
      <c r="E651" s="1"/>
      <c r="F651" s="1"/>
      <c r="G651" s="1"/>
      <c r="H651" s="1"/>
      <c r="I651" s="1"/>
    </row>
    <row r="652" spans="1:9" x14ac:dyDescent="0.3">
      <c r="A652" t="s">
        <v>10</v>
      </c>
      <c r="B652" t="s">
        <v>610</v>
      </c>
      <c r="C652" s="1"/>
      <c r="D652" s="1">
        <v>6600000</v>
      </c>
      <c r="E652" s="1"/>
      <c r="F652" s="1"/>
      <c r="G652" s="1"/>
      <c r="H652" s="1"/>
      <c r="I652" s="1"/>
    </row>
    <row r="653" spans="1:9" x14ac:dyDescent="0.3">
      <c r="A653" t="s">
        <v>10</v>
      </c>
      <c r="B653" t="s">
        <v>611</v>
      </c>
      <c r="C653" s="1"/>
      <c r="D653" s="1">
        <v>8800000</v>
      </c>
      <c r="E653" s="1"/>
      <c r="F653" s="1"/>
      <c r="G653" s="1"/>
      <c r="H653" s="1"/>
      <c r="I653" s="1"/>
    </row>
    <row r="654" spans="1:9" x14ac:dyDescent="0.3">
      <c r="A654" t="s">
        <v>10</v>
      </c>
      <c r="B654" t="s">
        <v>612</v>
      </c>
      <c r="C654" s="1">
        <v>1</v>
      </c>
      <c r="D654" s="1">
        <v>7600000</v>
      </c>
      <c r="E654" s="1"/>
      <c r="F654" s="1"/>
      <c r="G654" s="1"/>
      <c r="H654" s="1"/>
      <c r="I654" s="1"/>
    </row>
    <row r="655" spans="1:9" x14ac:dyDescent="0.3">
      <c r="A655" t="s">
        <v>10</v>
      </c>
      <c r="B655" t="s">
        <v>613</v>
      </c>
      <c r="C655" s="1">
        <v>1</v>
      </c>
      <c r="D655" s="1">
        <v>7100000</v>
      </c>
      <c r="E655" s="1"/>
      <c r="F655" s="1"/>
      <c r="G655" s="1"/>
      <c r="H655" s="1"/>
      <c r="I655" s="1"/>
    </row>
    <row r="656" spans="1:9" x14ac:dyDescent="0.3">
      <c r="A656" t="s">
        <v>10</v>
      </c>
      <c r="B656" t="s">
        <v>614</v>
      </c>
      <c r="C656" s="1"/>
      <c r="D656" s="1">
        <v>6600000</v>
      </c>
      <c r="E656" s="1"/>
      <c r="F656" s="1"/>
      <c r="G656" s="1"/>
      <c r="H656" s="1"/>
      <c r="I656" s="1"/>
    </row>
    <row r="657" spans="1:9" x14ac:dyDescent="0.3">
      <c r="A657" t="s">
        <v>10</v>
      </c>
      <c r="B657" t="s">
        <v>615</v>
      </c>
      <c r="C657" s="1"/>
      <c r="D657" s="1">
        <v>12000000</v>
      </c>
      <c r="E657" s="1"/>
      <c r="F657" s="1"/>
      <c r="G657" s="1"/>
      <c r="H657" s="1"/>
      <c r="I657" s="1"/>
    </row>
    <row r="658" spans="1:9" x14ac:dyDescent="0.3">
      <c r="A658" t="s">
        <v>10</v>
      </c>
      <c r="B658" t="s">
        <v>616</v>
      </c>
      <c r="C658" s="1">
        <v>1</v>
      </c>
      <c r="D658" s="1">
        <v>6600000</v>
      </c>
      <c r="E658" s="1"/>
      <c r="F658" s="1"/>
      <c r="G658" s="1"/>
      <c r="H658" s="1"/>
      <c r="I658" s="1"/>
    </row>
    <row r="659" spans="1:9" x14ac:dyDescent="0.3">
      <c r="A659" t="s">
        <v>10</v>
      </c>
      <c r="B659" t="s">
        <v>617</v>
      </c>
      <c r="C659" s="1">
        <v>1</v>
      </c>
      <c r="D659" s="1">
        <v>8950000</v>
      </c>
      <c r="E659" s="1"/>
      <c r="F659" s="1"/>
      <c r="G659" s="1"/>
      <c r="H659" s="1"/>
      <c r="I659" s="1"/>
    </row>
    <row r="660" spans="1:9" x14ac:dyDescent="0.3">
      <c r="A660" t="s">
        <v>10</v>
      </c>
      <c r="B660" t="s">
        <v>618</v>
      </c>
      <c r="C660" s="1"/>
      <c r="D660" s="1">
        <v>7800000</v>
      </c>
      <c r="E660" s="1"/>
      <c r="F660" s="1"/>
      <c r="G660" s="1"/>
      <c r="H660" s="1"/>
      <c r="I660" s="1"/>
    </row>
    <row r="661" spans="1:9" x14ac:dyDescent="0.3">
      <c r="A661" t="s">
        <v>10</v>
      </c>
      <c r="B661" t="s">
        <v>619</v>
      </c>
      <c r="C661" s="1">
        <v>1</v>
      </c>
      <c r="D661" s="1">
        <v>6800000</v>
      </c>
      <c r="E661" s="1"/>
      <c r="F661" s="1"/>
      <c r="G661" s="1"/>
      <c r="H661" s="1"/>
      <c r="I661" s="1"/>
    </row>
    <row r="662" spans="1:9" x14ac:dyDescent="0.3">
      <c r="A662" t="s">
        <v>10</v>
      </c>
      <c r="B662" t="s">
        <v>620</v>
      </c>
      <c r="C662" s="1"/>
      <c r="D662" s="1">
        <v>6700000</v>
      </c>
      <c r="E662" s="1"/>
      <c r="F662" s="1"/>
      <c r="G662" s="1"/>
      <c r="H662" s="1"/>
      <c r="I662" s="1">
        <v>1</v>
      </c>
    </row>
    <row r="663" spans="1:9" x14ac:dyDescent="0.3">
      <c r="A663" t="s">
        <v>10</v>
      </c>
      <c r="B663" t="s">
        <v>621</v>
      </c>
      <c r="C663" s="1"/>
      <c r="D663" s="1">
        <v>5700000</v>
      </c>
      <c r="E663" s="1"/>
      <c r="F663" s="1"/>
      <c r="G663" s="1"/>
      <c r="H663" s="1"/>
      <c r="I663" s="1"/>
    </row>
    <row r="664" spans="1:9" x14ac:dyDescent="0.3">
      <c r="A664" t="s">
        <v>10</v>
      </c>
      <c r="B664" t="s">
        <v>622</v>
      </c>
      <c r="C664" s="1"/>
      <c r="D664" s="1">
        <v>11000000</v>
      </c>
      <c r="E664" s="1"/>
      <c r="F664" s="1"/>
      <c r="G664" s="1"/>
      <c r="H664" s="1"/>
      <c r="I664" s="1"/>
    </row>
    <row r="665" spans="1:9" x14ac:dyDescent="0.3">
      <c r="A665" t="s">
        <v>10</v>
      </c>
      <c r="B665" t="s">
        <v>623</v>
      </c>
      <c r="C665" s="1">
        <v>1</v>
      </c>
      <c r="D665" s="1">
        <v>5700000</v>
      </c>
      <c r="E665" s="1"/>
      <c r="F665" s="1"/>
      <c r="G665" s="1"/>
      <c r="H665" s="1"/>
      <c r="I665" s="1"/>
    </row>
    <row r="666" spans="1:9" x14ac:dyDescent="0.3">
      <c r="A666" t="s">
        <v>10</v>
      </c>
      <c r="B666" t="s">
        <v>624</v>
      </c>
      <c r="C666" s="1"/>
      <c r="D666" s="1">
        <v>5800000</v>
      </c>
      <c r="E666" s="1"/>
      <c r="F666" s="1"/>
      <c r="G666" s="1"/>
      <c r="H666" s="1"/>
      <c r="I666" s="1"/>
    </row>
    <row r="667" spans="1:9" x14ac:dyDescent="0.3">
      <c r="A667" t="s">
        <v>10</v>
      </c>
      <c r="B667" t="s">
        <v>625</v>
      </c>
      <c r="C667" s="1"/>
      <c r="D667" s="1">
        <v>7500000</v>
      </c>
      <c r="E667" s="1"/>
      <c r="F667" s="1"/>
      <c r="G667" s="1"/>
      <c r="H667" s="1"/>
      <c r="I667" s="1"/>
    </row>
    <row r="668" spans="1:9" x14ac:dyDescent="0.3">
      <c r="A668" t="s">
        <v>10</v>
      </c>
      <c r="B668" t="s">
        <v>626</v>
      </c>
      <c r="C668" s="1"/>
      <c r="D668" s="1">
        <v>5800000</v>
      </c>
      <c r="E668" s="1"/>
      <c r="F668" s="1"/>
      <c r="G668" s="1"/>
      <c r="H668" s="1"/>
      <c r="I668" s="1"/>
    </row>
    <row r="669" spans="1:9" x14ac:dyDescent="0.3">
      <c r="A669" t="s">
        <v>10</v>
      </c>
      <c r="B669" t="s">
        <v>627</v>
      </c>
      <c r="C669" s="1"/>
      <c r="D669" s="1">
        <v>6000000</v>
      </c>
      <c r="E669" s="1"/>
      <c r="F669" s="1"/>
      <c r="G669" s="1"/>
      <c r="H669" s="1"/>
      <c r="I669" s="1"/>
    </row>
    <row r="670" spans="1:9" x14ac:dyDescent="0.3">
      <c r="A670" t="s">
        <v>10</v>
      </c>
      <c r="B670" t="s">
        <v>628</v>
      </c>
      <c r="C670" s="1">
        <v>1</v>
      </c>
      <c r="D670" s="1">
        <v>7000000</v>
      </c>
      <c r="E670" s="1"/>
      <c r="F670" s="1"/>
      <c r="G670" s="1"/>
      <c r="H670" s="1"/>
      <c r="I670" s="1"/>
    </row>
    <row r="671" spans="1:9" x14ac:dyDescent="0.3">
      <c r="A671" t="s">
        <v>10</v>
      </c>
      <c r="B671" t="s">
        <v>629</v>
      </c>
      <c r="C671" s="1">
        <v>1</v>
      </c>
      <c r="D671" s="1">
        <v>7500000</v>
      </c>
      <c r="E671" s="1"/>
      <c r="F671" s="1"/>
      <c r="G671" s="1"/>
      <c r="H671" s="1"/>
      <c r="I671" s="1"/>
    </row>
    <row r="672" spans="1:9" x14ac:dyDescent="0.3">
      <c r="A672" t="s">
        <v>10</v>
      </c>
      <c r="B672" t="s">
        <v>162</v>
      </c>
      <c r="C672" s="1">
        <v>1</v>
      </c>
      <c r="D672" s="1">
        <v>5400000</v>
      </c>
      <c r="E672" s="1"/>
      <c r="F672" s="1"/>
      <c r="G672" s="1"/>
      <c r="H672" s="1"/>
      <c r="I672" s="1"/>
    </row>
    <row r="673" spans="1:9" x14ac:dyDescent="0.3">
      <c r="A673" t="s">
        <v>10</v>
      </c>
      <c r="B673" t="s">
        <v>630</v>
      </c>
      <c r="C673" s="1">
        <v>1</v>
      </c>
      <c r="D673" s="1">
        <v>9900000</v>
      </c>
      <c r="E673" s="1"/>
      <c r="F673" s="1"/>
      <c r="G673" s="1"/>
      <c r="H673" s="1"/>
      <c r="I673" s="1"/>
    </row>
    <row r="674" spans="1:9" x14ac:dyDescent="0.3">
      <c r="A674" t="s">
        <v>10</v>
      </c>
      <c r="B674" t="s">
        <v>341</v>
      </c>
      <c r="C674" s="1"/>
      <c r="D674" s="1">
        <v>9400000</v>
      </c>
      <c r="E674" s="1"/>
      <c r="F674" s="1"/>
      <c r="G674" s="1"/>
      <c r="H674" s="1"/>
      <c r="I674" s="1"/>
    </row>
    <row r="675" spans="1:9" x14ac:dyDescent="0.3">
      <c r="A675" t="s">
        <v>10</v>
      </c>
      <c r="B675" t="s">
        <v>631</v>
      </c>
      <c r="C675" s="1">
        <v>2</v>
      </c>
      <c r="D675" s="1">
        <v>10200000</v>
      </c>
      <c r="E675" s="1"/>
      <c r="F675" s="1"/>
      <c r="G675" s="1"/>
      <c r="H675" s="1"/>
      <c r="I675" s="1"/>
    </row>
    <row r="676" spans="1:9" x14ac:dyDescent="0.3">
      <c r="A676" t="s">
        <v>10</v>
      </c>
      <c r="B676" t="s">
        <v>632</v>
      </c>
      <c r="C676" s="1"/>
      <c r="D676" s="1">
        <v>9400000</v>
      </c>
      <c r="E676" s="1"/>
      <c r="F676" s="1"/>
      <c r="G676" s="1"/>
      <c r="H676" s="1"/>
      <c r="I676" s="1"/>
    </row>
    <row r="677" spans="1:9" x14ac:dyDescent="0.3">
      <c r="A677" t="s">
        <v>10</v>
      </c>
      <c r="B677" t="s">
        <v>633</v>
      </c>
      <c r="C677" s="1">
        <v>1</v>
      </c>
      <c r="D677" s="1">
        <v>10000000</v>
      </c>
      <c r="E677" s="1"/>
      <c r="F677" s="1"/>
      <c r="G677" s="1"/>
      <c r="H677" s="1"/>
      <c r="I677" s="1"/>
    </row>
    <row r="678" spans="1:9" x14ac:dyDescent="0.3">
      <c r="A678" t="s">
        <v>10</v>
      </c>
      <c r="B678" t="s">
        <v>634</v>
      </c>
      <c r="C678" s="1">
        <v>1</v>
      </c>
      <c r="D678" s="1">
        <v>9700000</v>
      </c>
      <c r="E678" s="1"/>
      <c r="F678" s="1"/>
      <c r="G678" s="1"/>
      <c r="H678" s="1"/>
      <c r="I678" s="1"/>
    </row>
    <row r="679" spans="1:9" x14ac:dyDescent="0.3">
      <c r="A679" t="s">
        <v>10</v>
      </c>
      <c r="B679" t="s">
        <v>635</v>
      </c>
      <c r="C679" s="1">
        <v>2</v>
      </c>
      <c r="D679" s="1">
        <v>8950000</v>
      </c>
      <c r="E679" s="1"/>
      <c r="F679" s="1"/>
      <c r="G679" s="1"/>
      <c r="H679" s="1"/>
      <c r="I679" s="1"/>
    </row>
    <row r="680" spans="1:9" x14ac:dyDescent="0.3">
      <c r="A680" t="s">
        <v>10</v>
      </c>
      <c r="B680" t="s">
        <v>636</v>
      </c>
      <c r="C680" s="1"/>
      <c r="D680" s="1">
        <v>10300000</v>
      </c>
      <c r="E680" s="1"/>
      <c r="F680" s="1"/>
      <c r="G680" s="1"/>
      <c r="H680" s="1"/>
      <c r="I680" s="1"/>
    </row>
    <row r="681" spans="1:9" x14ac:dyDescent="0.3">
      <c r="A681" t="s">
        <v>10</v>
      </c>
      <c r="B681" t="s">
        <v>637</v>
      </c>
      <c r="C681" s="1">
        <v>1</v>
      </c>
      <c r="D681" s="1">
        <v>10800000</v>
      </c>
      <c r="E681" s="1"/>
      <c r="F681" s="1"/>
      <c r="G681" s="1"/>
      <c r="H681" s="1"/>
      <c r="I681" s="1"/>
    </row>
    <row r="682" spans="1:9" x14ac:dyDescent="0.3">
      <c r="A682" t="s">
        <v>10</v>
      </c>
      <c r="B682" t="s">
        <v>638</v>
      </c>
      <c r="C682" s="1"/>
      <c r="D682" s="1">
        <v>2400000</v>
      </c>
      <c r="E682" s="1"/>
      <c r="F682" s="1"/>
      <c r="G682" s="1"/>
      <c r="H682" s="1"/>
      <c r="I682" s="1"/>
    </row>
    <row r="683" spans="1:9" x14ac:dyDescent="0.3">
      <c r="A683" t="s">
        <v>10</v>
      </c>
      <c r="B683" t="s">
        <v>639</v>
      </c>
      <c r="C683" s="1"/>
      <c r="D683" s="1">
        <v>1800000</v>
      </c>
      <c r="E683" s="1"/>
      <c r="F683" s="1"/>
      <c r="G683" s="1"/>
      <c r="H683" s="1"/>
      <c r="I683" s="1"/>
    </row>
    <row r="684" spans="1:9" x14ac:dyDescent="0.3">
      <c r="A684" t="s">
        <v>10</v>
      </c>
      <c r="B684" t="s">
        <v>640</v>
      </c>
      <c r="C684" s="1">
        <v>3</v>
      </c>
      <c r="D684" s="1">
        <v>2400000</v>
      </c>
      <c r="E684" s="1"/>
      <c r="F684" s="1"/>
      <c r="G684" s="1"/>
      <c r="H684" s="1"/>
      <c r="I684" s="1"/>
    </row>
    <row r="685" spans="1:9" x14ac:dyDescent="0.3">
      <c r="A685" t="s">
        <v>10</v>
      </c>
      <c r="B685" t="s">
        <v>641</v>
      </c>
      <c r="C685" s="1"/>
      <c r="D685" s="1">
        <v>2400000</v>
      </c>
      <c r="E685" s="1"/>
      <c r="F685" s="1"/>
      <c r="G685" s="1"/>
      <c r="H685" s="1"/>
      <c r="I685" s="1"/>
    </row>
    <row r="686" spans="1:9" x14ac:dyDescent="0.3">
      <c r="A686" t="s">
        <v>10</v>
      </c>
      <c r="B686" t="s">
        <v>642</v>
      </c>
      <c r="C686" s="1">
        <v>1</v>
      </c>
      <c r="D686" s="1"/>
      <c r="E686" s="1"/>
      <c r="F686" s="1"/>
      <c r="G686" s="1"/>
      <c r="H686" s="1"/>
      <c r="I686" s="1"/>
    </row>
    <row r="687" spans="1:9" x14ac:dyDescent="0.3">
      <c r="A687" t="s">
        <v>10</v>
      </c>
      <c r="B687" t="s">
        <v>643</v>
      </c>
      <c r="C687" s="1">
        <v>2</v>
      </c>
      <c r="D687" s="1"/>
      <c r="E687" s="1"/>
      <c r="F687" s="1"/>
      <c r="G687" s="1"/>
      <c r="H687" s="1"/>
      <c r="I687" s="1"/>
    </row>
    <row r="688" spans="1:9" x14ac:dyDescent="0.3">
      <c r="A688" t="s">
        <v>10</v>
      </c>
      <c r="B688" t="s">
        <v>644</v>
      </c>
      <c r="C688" s="1">
        <v>1</v>
      </c>
      <c r="D688" s="1">
        <v>2400000</v>
      </c>
      <c r="E688" s="1"/>
      <c r="F688" s="1"/>
      <c r="G688" s="1"/>
      <c r="H688" s="1"/>
      <c r="I688" s="1"/>
    </row>
    <row r="689" spans="1:9" x14ac:dyDescent="0.3">
      <c r="A689" t="s">
        <v>10</v>
      </c>
      <c r="B689" t="s">
        <v>645</v>
      </c>
      <c r="C689" s="1">
        <v>1</v>
      </c>
      <c r="D689" s="1">
        <v>2650000</v>
      </c>
      <c r="E689" s="1"/>
      <c r="F689" s="1"/>
      <c r="G689" s="1"/>
      <c r="H689" s="1"/>
      <c r="I689" s="1"/>
    </row>
    <row r="690" spans="1:9" x14ac:dyDescent="0.3">
      <c r="A690" t="s">
        <v>10</v>
      </c>
      <c r="B690" t="s">
        <v>646</v>
      </c>
      <c r="C690" s="1">
        <v>1</v>
      </c>
      <c r="D690" s="1">
        <v>11000000</v>
      </c>
      <c r="E690" s="1"/>
      <c r="F690" s="1"/>
      <c r="G690" s="1"/>
      <c r="H690" s="1"/>
      <c r="I690" s="1"/>
    </row>
    <row r="691" spans="1:9" x14ac:dyDescent="0.3">
      <c r="A691" t="s">
        <v>10</v>
      </c>
      <c r="B691" t="s">
        <v>647</v>
      </c>
      <c r="C691" s="1">
        <v>2</v>
      </c>
      <c r="D691" s="1">
        <v>16500000</v>
      </c>
      <c r="E691" s="1"/>
      <c r="F691" s="1"/>
      <c r="G691" s="1"/>
      <c r="H691" s="1"/>
      <c r="I691" s="1"/>
    </row>
    <row r="692" spans="1:9" x14ac:dyDescent="0.3">
      <c r="A692" t="s">
        <v>10</v>
      </c>
      <c r="B692" t="s">
        <v>163</v>
      </c>
      <c r="C692" s="1">
        <v>1</v>
      </c>
      <c r="D692" s="1">
        <v>10500000</v>
      </c>
      <c r="E692" s="1"/>
      <c r="F692" s="1"/>
      <c r="G692" s="1"/>
      <c r="H692" s="1"/>
      <c r="I692" s="1"/>
    </row>
    <row r="693" spans="1:9" x14ac:dyDescent="0.3">
      <c r="A693" t="s">
        <v>10</v>
      </c>
      <c r="B693" t="s">
        <v>648</v>
      </c>
      <c r="C693" s="1"/>
      <c r="D693" s="1">
        <v>20500000</v>
      </c>
      <c r="E693" s="1"/>
      <c r="F693" s="1"/>
      <c r="G693" s="1"/>
      <c r="H693" s="1"/>
      <c r="I693" s="1"/>
    </row>
    <row r="694" spans="1:9" x14ac:dyDescent="0.3">
      <c r="A694" t="s">
        <v>10</v>
      </c>
      <c r="B694" t="s">
        <v>649</v>
      </c>
      <c r="C694" s="1">
        <v>4</v>
      </c>
      <c r="D694" s="1">
        <v>11000000</v>
      </c>
      <c r="E694" s="1"/>
      <c r="F694" s="1"/>
      <c r="G694" s="1"/>
      <c r="H694" s="1"/>
      <c r="I694" s="1"/>
    </row>
    <row r="695" spans="1:9" x14ac:dyDescent="0.3">
      <c r="A695" t="s">
        <v>10</v>
      </c>
      <c r="B695" t="s">
        <v>650</v>
      </c>
      <c r="C695" s="1"/>
      <c r="D695" s="1">
        <v>18500000</v>
      </c>
      <c r="E695" s="1"/>
      <c r="F695" s="1"/>
      <c r="G695" s="1"/>
      <c r="H695" s="1"/>
      <c r="I695" s="1"/>
    </row>
    <row r="696" spans="1:9" x14ac:dyDescent="0.3">
      <c r="A696" t="s">
        <v>10</v>
      </c>
      <c r="B696" t="s">
        <v>80</v>
      </c>
      <c r="C696" s="1">
        <v>1</v>
      </c>
      <c r="D696" s="1">
        <v>8000000</v>
      </c>
      <c r="E696" s="1"/>
      <c r="F696" s="1"/>
      <c r="G696" s="1"/>
      <c r="H696" s="1"/>
      <c r="I696" s="1"/>
    </row>
    <row r="697" spans="1:9" x14ac:dyDescent="0.3">
      <c r="A697" t="s">
        <v>10</v>
      </c>
      <c r="B697" t="s">
        <v>80</v>
      </c>
      <c r="C697" s="1"/>
      <c r="D697" s="1">
        <v>8100000</v>
      </c>
      <c r="E697" s="1"/>
      <c r="F697" s="1"/>
      <c r="G697" s="1"/>
      <c r="H697" s="1"/>
      <c r="I697" s="1"/>
    </row>
    <row r="698" spans="1:9" x14ac:dyDescent="0.3">
      <c r="A698" t="s">
        <v>10</v>
      </c>
      <c r="B698" t="s">
        <v>651</v>
      </c>
      <c r="C698" s="1"/>
      <c r="D698" s="1">
        <v>18500000</v>
      </c>
      <c r="E698" s="1"/>
      <c r="F698" s="1"/>
      <c r="G698" s="1"/>
      <c r="H698" s="1"/>
      <c r="I698" s="1"/>
    </row>
    <row r="699" spans="1:9" x14ac:dyDescent="0.3">
      <c r="A699" t="s">
        <v>10</v>
      </c>
      <c r="B699" t="s">
        <v>652</v>
      </c>
      <c r="C699" s="1">
        <v>1</v>
      </c>
      <c r="D699" s="1">
        <v>9500000</v>
      </c>
      <c r="E699" s="1"/>
      <c r="F699" s="1"/>
      <c r="G699" s="1"/>
      <c r="H699" s="1"/>
      <c r="I699" s="1"/>
    </row>
    <row r="700" spans="1:9" x14ac:dyDescent="0.3">
      <c r="A700" t="s">
        <v>10</v>
      </c>
      <c r="B700" t="s">
        <v>254</v>
      </c>
      <c r="C700" s="1">
        <v>2</v>
      </c>
      <c r="D700" s="1">
        <v>13500000</v>
      </c>
      <c r="E700" s="1"/>
      <c r="F700" s="1"/>
      <c r="G700" s="1"/>
      <c r="H700" s="1"/>
      <c r="I700" s="1"/>
    </row>
    <row r="701" spans="1:9" x14ac:dyDescent="0.3">
      <c r="A701" t="s">
        <v>10</v>
      </c>
      <c r="B701" t="s">
        <v>653</v>
      </c>
      <c r="C701" s="1">
        <v>1</v>
      </c>
      <c r="D701" s="1">
        <v>14000000</v>
      </c>
      <c r="E701" s="1"/>
      <c r="F701" s="1"/>
      <c r="G701" s="1"/>
      <c r="H701" s="1"/>
      <c r="I701" s="1"/>
    </row>
    <row r="702" spans="1:9" x14ac:dyDescent="0.3">
      <c r="A702" t="s">
        <v>10</v>
      </c>
      <c r="B702" t="s">
        <v>654</v>
      </c>
      <c r="C702" s="1"/>
      <c r="D702" s="1">
        <v>20000000</v>
      </c>
      <c r="E702" s="1"/>
      <c r="F702" s="1"/>
      <c r="G702" s="1"/>
      <c r="H702" s="1"/>
      <c r="I702" s="1"/>
    </row>
    <row r="703" spans="1:9" x14ac:dyDescent="0.3">
      <c r="A703" t="s">
        <v>10</v>
      </c>
      <c r="B703" t="s">
        <v>60</v>
      </c>
      <c r="C703" s="1">
        <v>2</v>
      </c>
      <c r="D703" s="1">
        <v>9500000</v>
      </c>
      <c r="E703" s="1"/>
      <c r="F703" s="1"/>
      <c r="G703" s="1"/>
      <c r="H703" s="1"/>
      <c r="I703" s="1"/>
    </row>
    <row r="704" spans="1:9" x14ac:dyDescent="0.3">
      <c r="A704" t="s">
        <v>10</v>
      </c>
      <c r="B704" t="s">
        <v>60</v>
      </c>
      <c r="C704" s="1">
        <v>3</v>
      </c>
      <c r="D704" s="1">
        <v>10500000</v>
      </c>
      <c r="E704" s="1"/>
      <c r="F704" s="1"/>
      <c r="G704" s="1"/>
      <c r="H704" s="1"/>
      <c r="I704" s="1">
        <v>3</v>
      </c>
    </row>
    <row r="705" spans="1:9" x14ac:dyDescent="0.3">
      <c r="A705" t="s">
        <v>10</v>
      </c>
      <c r="B705" t="s">
        <v>655</v>
      </c>
      <c r="C705" s="1">
        <v>8</v>
      </c>
      <c r="D705" s="1">
        <v>15500000</v>
      </c>
      <c r="E705" s="1"/>
      <c r="F705" s="1"/>
      <c r="G705" s="1"/>
      <c r="H705" s="1"/>
      <c r="I705" s="1"/>
    </row>
    <row r="706" spans="1:9" x14ac:dyDescent="0.3">
      <c r="A706" t="s">
        <v>10</v>
      </c>
      <c r="B706" t="s">
        <v>656</v>
      </c>
      <c r="C706" s="1">
        <v>2</v>
      </c>
      <c r="D706" s="1">
        <v>19500000</v>
      </c>
      <c r="E706" s="1"/>
      <c r="F706" s="1"/>
      <c r="G706" s="1"/>
      <c r="H706" s="1"/>
      <c r="I706" s="1"/>
    </row>
    <row r="707" spans="1:9" x14ac:dyDescent="0.3">
      <c r="A707" t="s">
        <v>10</v>
      </c>
      <c r="B707" t="s">
        <v>657</v>
      </c>
      <c r="C707" s="1">
        <v>1</v>
      </c>
      <c r="D707" s="1">
        <v>19000000</v>
      </c>
      <c r="E707" s="1"/>
      <c r="F707" s="1"/>
      <c r="G707" s="1"/>
      <c r="H707" s="1"/>
      <c r="I707" s="1"/>
    </row>
    <row r="708" spans="1:9" x14ac:dyDescent="0.3">
      <c r="A708" t="s">
        <v>10</v>
      </c>
      <c r="B708" t="s">
        <v>658</v>
      </c>
      <c r="C708" s="1">
        <v>4</v>
      </c>
      <c r="D708" s="1">
        <v>18000000</v>
      </c>
      <c r="E708" s="1"/>
      <c r="F708" s="1"/>
      <c r="G708" s="1"/>
      <c r="H708" s="1"/>
      <c r="I708" s="1"/>
    </row>
    <row r="709" spans="1:9" x14ac:dyDescent="0.3">
      <c r="A709" t="s">
        <v>10</v>
      </c>
      <c r="B709" t="s">
        <v>34</v>
      </c>
      <c r="C709" s="1"/>
      <c r="D709" s="1">
        <v>8100000</v>
      </c>
      <c r="E709" s="1"/>
      <c r="F709" s="1"/>
      <c r="G709" s="1"/>
      <c r="H709" s="1"/>
      <c r="I709" s="1"/>
    </row>
    <row r="710" spans="1:9" x14ac:dyDescent="0.3">
      <c r="A710" t="s">
        <v>10</v>
      </c>
      <c r="B710" t="s">
        <v>659</v>
      </c>
      <c r="C710" s="1"/>
      <c r="D710" s="1">
        <v>22000000</v>
      </c>
      <c r="E710" s="1"/>
      <c r="F710" s="1"/>
      <c r="G710" s="1"/>
      <c r="H710" s="1"/>
      <c r="I710" s="1"/>
    </row>
    <row r="711" spans="1:9" x14ac:dyDescent="0.3">
      <c r="A711" t="s">
        <v>10</v>
      </c>
      <c r="B711" t="s">
        <v>258</v>
      </c>
      <c r="C711" s="1">
        <v>2</v>
      </c>
      <c r="D711" s="1">
        <v>16800000</v>
      </c>
      <c r="E711" s="1"/>
      <c r="F711" s="1"/>
      <c r="G711" s="1"/>
      <c r="H711" s="1"/>
      <c r="I711" s="1"/>
    </row>
    <row r="712" spans="1:9" x14ac:dyDescent="0.3">
      <c r="A712" t="s">
        <v>10</v>
      </c>
      <c r="B712" t="s">
        <v>660</v>
      </c>
      <c r="C712" s="1"/>
      <c r="D712" s="1">
        <v>12500000</v>
      </c>
      <c r="E712" s="1"/>
      <c r="F712" s="1"/>
      <c r="G712" s="1"/>
      <c r="H712" s="1"/>
      <c r="I712" s="1"/>
    </row>
    <row r="713" spans="1:9" x14ac:dyDescent="0.3">
      <c r="A713" t="s">
        <v>10</v>
      </c>
      <c r="B713" t="s">
        <v>661</v>
      </c>
      <c r="C713" s="1"/>
      <c r="D713" s="1">
        <v>28500000</v>
      </c>
      <c r="E713" s="1"/>
      <c r="F713" s="1"/>
      <c r="G713" s="1"/>
      <c r="H713" s="1"/>
      <c r="I713" s="1"/>
    </row>
    <row r="714" spans="1:9" x14ac:dyDescent="0.3">
      <c r="A714" t="s">
        <v>10</v>
      </c>
      <c r="B714" t="s">
        <v>56</v>
      </c>
      <c r="C714" s="1"/>
      <c r="D714" s="1">
        <v>13000000</v>
      </c>
      <c r="E714" s="1"/>
      <c r="F714" s="1"/>
      <c r="G714" s="1"/>
      <c r="H714" s="1"/>
      <c r="I714" s="1"/>
    </row>
    <row r="715" spans="1:9" x14ac:dyDescent="0.3">
      <c r="A715" t="s">
        <v>10</v>
      </c>
      <c r="B715" t="s">
        <v>662</v>
      </c>
      <c r="C715" s="1">
        <v>1</v>
      </c>
      <c r="D715" s="1">
        <v>14500000</v>
      </c>
      <c r="E715" s="1"/>
      <c r="F715" s="1"/>
      <c r="G715" s="1"/>
      <c r="H715" s="1"/>
      <c r="I715" s="1"/>
    </row>
    <row r="716" spans="1:9" x14ac:dyDescent="0.3">
      <c r="A716" t="s">
        <v>10</v>
      </c>
      <c r="B716" t="s">
        <v>663</v>
      </c>
      <c r="C716" s="1"/>
      <c r="D716" s="1">
        <v>27500000</v>
      </c>
      <c r="E716" s="1"/>
      <c r="F716" s="1"/>
      <c r="G716" s="1"/>
      <c r="H716" s="1"/>
      <c r="I716" s="1"/>
    </row>
    <row r="717" spans="1:9" x14ac:dyDescent="0.3">
      <c r="A717" t="s">
        <v>10</v>
      </c>
      <c r="B717" t="s">
        <v>664</v>
      </c>
      <c r="C717" s="1"/>
      <c r="D717" s="1">
        <v>26000000</v>
      </c>
      <c r="E717" s="1"/>
      <c r="F717" s="1"/>
      <c r="G717" s="1"/>
      <c r="H717" s="1"/>
      <c r="I717" s="1"/>
    </row>
    <row r="718" spans="1:9" x14ac:dyDescent="0.3">
      <c r="A718" t="s">
        <v>10</v>
      </c>
      <c r="B718" t="s">
        <v>260</v>
      </c>
      <c r="C718" s="1">
        <v>1</v>
      </c>
      <c r="D718" s="1">
        <v>15100000</v>
      </c>
      <c r="E718" s="1"/>
      <c r="F718" s="1"/>
      <c r="G718" s="1"/>
      <c r="H718" s="1"/>
      <c r="I718" s="1"/>
    </row>
    <row r="719" spans="1:9" x14ac:dyDescent="0.3">
      <c r="A719" t="s">
        <v>10</v>
      </c>
      <c r="B719" t="s">
        <v>260</v>
      </c>
      <c r="C719" s="1">
        <v>3</v>
      </c>
      <c r="D719" s="1">
        <v>15900000</v>
      </c>
      <c r="E719" s="1"/>
      <c r="F719" s="1"/>
      <c r="G719" s="1"/>
      <c r="H719" s="1"/>
      <c r="I719" s="1"/>
    </row>
    <row r="720" spans="1:9" x14ac:dyDescent="0.3">
      <c r="A720" t="s">
        <v>10</v>
      </c>
      <c r="B720" t="s">
        <v>665</v>
      </c>
      <c r="C720" s="1">
        <v>2</v>
      </c>
      <c r="D720" s="1">
        <v>14700000</v>
      </c>
      <c r="E720" s="1"/>
      <c r="F720" s="1"/>
      <c r="G720" s="1"/>
      <c r="H720" s="1"/>
      <c r="I720" s="1"/>
    </row>
    <row r="721" spans="1:9" x14ac:dyDescent="0.3">
      <c r="A721" t="s">
        <v>10</v>
      </c>
      <c r="B721" t="s">
        <v>666</v>
      </c>
      <c r="C721" s="1">
        <v>2</v>
      </c>
      <c r="D721" s="1">
        <v>14000000</v>
      </c>
      <c r="E721" s="1"/>
      <c r="F721" s="1"/>
      <c r="G721" s="1"/>
      <c r="H721" s="1"/>
      <c r="I721" s="1"/>
    </row>
    <row r="722" spans="1:9" x14ac:dyDescent="0.3">
      <c r="A722" t="s">
        <v>10</v>
      </c>
      <c r="B722" t="s">
        <v>667</v>
      </c>
      <c r="C722" s="1"/>
      <c r="D722" s="1">
        <v>23000000</v>
      </c>
      <c r="E722" s="1"/>
      <c r="F722" s="1"/>
      <c r="G722" s="1"/>
      <c r="H722" s="1"/>
      <c r="I722" s="1"/>
    </row>
    <row r="723" spans="1:9" x14ac:dyDescent="0.3">
      <c r="A723" t="s">
        <v>10</v>
      </c>
      <c r="B723" t="s">
        <v>53</v>
      </c>
      <c r="C723" s="1">
        <v>1</v>
      </c>
      <c r="D723" s="1">
        <v>15900000</v>
      </c>
      <c r="E723" s="1"/>
      <c r="F723" s="1"/>
      <c r="G723" s="1"/>
      <c r="H723" s="1"/>
      <c r="I723" s="1"/>
    </row>
    <row r="724" spans="1:9" x14ac:dyDescent="0.3">
      <c r="A724" t="s">
        <v>10</v>
      </c>
      <c r="B724" t="s">
        <v>133</v>
      </c>
      <c r="C724" s="1"/>
      <c r="D724" s="1">
        <v>16000000</v>
      </c>
      <c r="E724" s="1"/>
      <c r="F724" s="1"/>
      <c r="G724" s="1"/>
      <c r="H724" s="1"/>
      <c r="I724" s="1"/>
    </row>
    <row r="725" spans="1:9" x14ac:dyDescent="0.3">
      <c r="A725" t="s">
        <v>10</v>
      </c>
      <c r="B725" t="s">
        <v>101</v>
      </c>
      <c r="C725" s="1"/>
      <c r="D725" s="1">
        <v>13700000</v>
      </c>
      <c r="E725" s="1"/>
      <c r="F725" s="1"/>
      <c r="G725" s="1"/>
      <c r="H725" s="1"/>
      <c r="I725" s="1"/>
    </row>
    <row r="726" spans="1:9" x14ac:dyDescent="0.3">
      <c r="A726" t="s">
        <v>10</v>
      </c>
      <c r="B726" t="s">
        <v>118</v>
      </c>
      <c r="C726" s="1">
        <v>3</v>
      </c>
      <c r="D726" s="1">
        <v>26000000</v>
      </c>
      <c r="E726" s="1"/>
      <c r="F726" s="1"/>
      <c r="G726" s="1"/>
      <c r="H726" s="1"/>
      <c r="I726" s="1"/>
    </row>
    <row r="727" spans="1:9" x14ac:dyDescent="0.3">
      <c r="A727" t="s">
        <v>10</v>
      </c>
      <c r="B727" t="s">
        <v>355</v>
      </c>
      <c r="C727" s="1">
        <v>1</v>
      </c>
      <c r="D727" s="1">
        <v>25800000</v>
      </c>
      <c r="E727" s="1"/>
      <c r="F727" s="1"/>
      <c r="G727" s="1"/>
      <c r="H727" s="1"/>
      <c r="I727" s="1"/>
    </row>
    <row r="728" spans="1:9" x14ac:dyDescent="0.3">
      <c r="A728" t="s">
        <v>10</v>
      </c>
      <c r="B728" t="s">
        <v>262</v>
      </c>
      <c r="C728" s="1">
        <v>1</v>
      </c>
      <c r="D728" s="1">
        <v>27500000</v>
      </c>
      <c r="E728" s="1"/>
      <c r="F728" s="1"/>
      <c r="G728" s="1"/>
      <c r="H728" s="1"/>
      <c r="I728" s="1"/>
    </row>
    <row r="729" spans="1:9" x14ac:dyDescent="0.3">
      <c r="A729" t="s">
        <v>10</v>
      </c>
      <c r="B729" t="s">
        <v>149</v>
      </c>
      <c r="C729" s="1">
        <v>1</v>
      </c>
      <c r="D729" s="1">
        <v>21500000</v>
      </c>
      <c r="E729" s="1"/>
      <c r="F729" s="1"/>
      <c r="G729" s="1"/>
      <c r="H729" s="1"/>
      <c r="I729" s="1"/>
    </row>
    <row r="730" spans="1:9" x14ac:dyDescent="0.3">
      <c r="A730" t="s">
        <v>10</v>
      </c>
      <c r="B730" t="s">
        <v>668</v>
      </c>
      <c r="C730" s="1">
        <v>1</v>
      </c>
      <c r="D730" s="1">
        <v>31000000</v>
      </c>
      <c r="E730" s="1"/>
      <c r="F730" s="1"/>
      <c r="G730" s="1"/>
      <c r="H730" s="1"/>
      <c r="I730" s="1"/>
    </row>
    <row r="731" spans="1:9" x14ac:dyDescent="0.3">
      <c r="A731" t="s">
        <v>10</v>
      </c>
      <c r="B731" t="s">
        <v>669</v>
      </c>
      <c r="C731" s="1">
        <v>1</v>
      </c>
      <c r="D731" s="1">
        <v>28000000</v>
      </c>
      <c r="E731" s="1"/>
      <c r="F731" s="1"/>
      <c r="G731" s="1"/>
      <c r="H731" s="1"/>
      <c r="I731" s="1"/>
    </row>
    <row r="732" spans="1:9" x14ac:dyDescent="0.3">
      <c r="A732" t="s">
        <v>10</v>
      </c>
      <c r="B732" t="s">
        <v>670</v>
      </c>
      <c r="C732" s="1">
        <v>1</v>
      </c>
      <c r="D732" s="1">
        <v>24500000</v>
      </c>
      <c r="E732" s="1"/>
      <c r="F732" s="1"/>
      <c r="G732" s="1"/>
      <c r="H732" s="1"/>
      <c r="I732" s="1"/>
    </row>
    <row r="733" spans="1:9" x14ac:dyDescent="0.3">
      <c r="A733" t="s">
        <v>10</v>
      </c>
      <c r="B733" t="s">
        <v>671</v>
      </c>
      <c r="C733" s="1">
        <v>1</v>
      </c>
      <c r="D733" s="1">
        <v>13000000</v>
      </c>
      <c r="E733" s="1"/>
      <c r="F733" s="1"/>
      <c r="G733" s="1"/>
      <c r="H733" s="1"/>
      <c r="I733" s="1"/>
    </row>
    <row r="734" spans="1:9" x14ac:dyDescent="0.3">
      <c r="A734" t="s">
        <v>10</v>
      </c>
      <c r="B734" t="s">
        <v>672</v>
      </c>
      <c r="C734" s="1"/>
      <c r="D734" s="1">
        <v>9500000</v>
      </c>
      <c r="E734" s="1"/>
      <c r="F734" s="1"/>
      <c r="G734" s="1"/>
      <c r="H734" s="1"/>
      <c r="I734" s="1"/>
    </row>
    <row r="735" spans="1:9" x14ac:dyDescent="0.3">
      <c r="A735" t="s">
        <v>10</v>
      </c>
      <c r="B735" t="s">
        <v>673</v>
      </c>
      <c r="C735" s="1">
        <v>1</v>
      </c>
      <c r="D735" s="1">
        <v>9500000</v>
      </c>
      <c r="E735" s="1"/>
      <c r="F735" s="1"/>
      <c r="G735" s="1"/>
      <c r="H735" s="1"/>
      <c r="I735" s="1"/>
    </row>
    <row r="736" spans="1:9" x14ac:dyDescent="0.3">
      <c r="A736" t="s">
        <v>10</v>
      </c>
      <c r="B736" t="s">
        <v>674</v>
      </c>
      <c r="C736" s="1">
        <v>1</v>
      </c>
      <c r="D736" s="1">
        <v>8990000</v>
      </c>
      <c r="E736" s="1"/>
      <c r="F736" s="1"/>
      <c r="G736" s="1"/>
      <c r="H736" s="1"/>
      <c r="I736" s="1"/>
    </row>
    <row r="737" spans="1:9" x14ac:dyDescent="0.3">
      <c r="A737" t="s">
        <v>215</v>
      </c>
      <c r="B737" t="s">
        <v>675</v>
      </c>
      <c r="C737" s="1"/>
      <c r="D737" s="1">
        <v>1999000</v>
      </c>
      <c r="E737" s="1"/>
      <c r="F737" s="1"/>
      <c r="G737" s="1"/>
      <c r="H737" s="1"/>
      <c r="I737" s="1"/>
    </row>
    <row r="738" spans="1:9" x14ac:dyDescent="0.3">
      <c r="A738" t="s">
        <v>215</v>
      </c>
      <c r="B738" t="s">
        <v>676</v>
      </c>
      <c r="C738" s="1">
        <v>1</v>
      </c>
      <c r="D738" s="1"/>
      <c r="E738" s="1"/>
      <c r="F738" s="1"/>
      <c r="G738" s="1"/>
      <c r="H738" s="1"/>
      <c r="I738" s="1"/>
    </row>
    <row r="739" spans="1:9" x14ac:dyDescent="0.3">
      <c r="A739" t="s">
        <v>215</v>
      </c>
      <c r="B739" t="s">
        <v>677</v>
      </c>
      <c r="C739" s="1">
        <v>1</v>
      </c>
      <c r="D739" s="1">
        <v>120000</v>
      </c>
      <c r="E739" s="1"/>
      <c r="F739" s="1"/>
      <c r="G739" s="1"/>
      <c r="H739" s="1"/>
      <c r="I739" s="1"/>
    </row>
    <row r="740" spans="1:9" x14ac:dyDescent="0.3">
      <c r="A740" t="s">
        <v>215</v>
      </c>
      <c r="B740" t="s">
        <v>678</v>
      </c>
      <c r="C740" s="1">
        <v>1</v>
      </c>
      <c r="D740" s="1">
        <v>200000</v>
      </c>
      <c r="E740" s="1"/>
      <c r="F740" s="1"/>
      <c r="G740" s="1"/>
      <c r="H740" s="1"/>
      <c r="I740" s="1"/>
    </row>
    <row r="741" spans="1:9" x14ac:dyDescent="0.3">
      <c r="A741" t="s">
        <v>215</v>
      </c>
      <c r="B741" t="s">
        <v>679</v>
      </c>
      <c r="C741" s="1">
        <v>1</v>
      </c>
      <c r="D741" s="1">
        <v>179000</v>
      </c>
      <c r="E741" s="1"/>
      <c r="F741" s="1"/>
      <c r="G741" s="1"/>
      <c r="H741" s="1"/>
      <c r="I741" s="1"/>
    </row>
    <row r="742" spans="1:9" x14ac:dyDescent="0.3">
      <c r="A742" t="s">
        <v>215</v>
      </c>
      <c r="B742" t="s">
        <v>680</v>
      </c>
      <c r="C742" s="1">
        <v>1</v>
      </c>
      <c r="D742" s="1">
        <v>179000</v>
      </c>
      <c r="E742" s="1"/>
      <c r="F742" s="1"/>
      <c r="G742" s="1"/>
      <c r="H742" s="1"/>
      <c r="I742" s="1"/>
    </row>
    <row r="743" spans="1:9" x14ac:dyDescent="0.3">
      <c r="A743" t="s">
        <v>215</v>
      </c>
      <c r="B743" t="s">
        <v>681</v>
      </c>
      <c r="C743" s="1"/>
      <c r="D743" s="1">
        <v>2100000</v>
      </c>
      <c r="E743" s="1"/>
      <c r="F743" s="1"/>
      <c r="G743" s="1"/>
      <c r="H743" s="1"/>
      <c r="I743" s="1"/>
    </row>
    <row r="744" spans="1:9" x14ac:dyDescent="0.3">
      <c r="A744" t="s">
        <v>215</v>
      </c>
      <c r="B744" t="s">
        <v>682</v>
      </c>
      <c r="C744" s="1">
        <v>1</v>
      </c>
      <c r="D744" s="1">
        <v>2000000</v>
      </c>
      <c r="E744" s="1"/>
      <c r="F744" s="1"/>
      <c r="G744" s="1"/>
      <c r="H744" s="1"/>
      <c r="I744" s="1"/>
    </row>
    <row r="745" spans="1:9" x14ac:dyDescent="0.3">
      <c r="A745" t="s">
        <v>215</v>
      </c>
      <c r="B745" t="s">
        <v>683</v>
      </c>
      <c r="C745" s="1"/>
      <c r="D745" s="1">
        <v>2500000</v>
      </c>
      <c r="E745" s="1"/>
      <c r="F745" s="1"/>
      <c r="G745" s="1"/>
      <c r="H745" s="1"/>
      <c r="I745" s="1"/>
    </row>
    <row r="746" spans="1:9" x14ac:dyDescent="0.3">
      <c r="A746" t="s">
        <v>215</v>
      </c>
      <c r="B746" t="s">
        <v>684</v>
      </c>
      <c r="C746" s="1">
        <v>0</v>
      </c>
      <c r="D746" s="1">
        <v>2290000</v>
      </c>
      <c r="E746" s="1"/>
      <c r="F746" s="1"/>
      <c r="G746" s="1"/>
      <c r="H746" s="1"/>
      <c r="I746" s="1"/>
    </row>
    <row r="747" spans="1:9" x14ac:dyDescent="0.3">
      <c r="A747" t="s">
        <v>215</v>
      </c>
      <c r="B747" t="s">
        <v>685</v>
      </c>
      <c r="C747" s="1">
        <v>1</v>
      </c>
      <c r="D747" s="1">
        <v>2800000</v>
      </c>
      <c r="E747" s="1"/>
      <c r="F747" s="1"/>
      <c r="G747" s="1"/>
      <c r="H747" s="1"/>
      <c r="I747" s="1"/>
    </row>
    <row r="748" spans="1:9" x14ac:dyDescent="0.3">
      <c r="A748" t="s">
        <v>215</v>
      </c>
      <c r="B748" t="s">
        <v>686</v>
      </c>
      <c r="C748" s="1">
        <v>1</v>
      </c>
      <c r="D748" s="1"/>
      <c r="E748" s="1"/>
      <c r="F748" s="1"/>
      <c r="G748" s="1"/>
      <c r="H748" s="1"/>
      <c r="I748" s="1"/>
    </row>
    <row r="749" spans="1:9" x14ac:dyDescent="0.3">
      <c r="A749" t="s">
        <v>215</v>
      </c>
      <c r="B749" t="s">
        <v>687</v>
      </c>
      <c r="C749" s="1">
        <v>1</v>
      </c>
      <c r="D749" s="1">
        <v>1000000</v>
      </c>
      <c r="E749" s="1"/>
      <c r="F749" s="1"/>
      <c r="G749" s="1"/>
      <c r="H749" s="1"/>
      <c r="I749" s="1"/>
    </row>
    <row r="750" spans="1:9" x14ac:dyDescent="0.3">
      <c r="A750" t="s">
        <v>264</v>
      </c>
      <c r="B750" t="s">
        <v>688</v>
      </c>
      <c r="C750" s="1">
        <v>1</v>
      </c>
      <c r="D750" s="1">
        <v>15000000</v>
      </c>
      <c r="E750" s="1"/>
      <c r="F750" s="1"/>
      <c r="G750" s="1"/>
      <c r="H750" s="1"/>
      <c r="I750" s="1"/>
    </row>
    <row r="751" spans="1:9" x14ac:dyDescent="0.3">
      <c r="A751" t="s">
        <v>264</v>
      </c>
      <c r="B751" t="s">
        <v>689</v>
      </c>
      <c r="C751" s="1">
        <v>1</v>
      </c>
      <c r="D751" s="1">
        <v>11500000</v>
      </c>
      <c r="E751" s="1"/>
      <c r="F751" s="1"/>
      <c r="G751" s="1"/>
      <c r="H751" s="1"/>
      <c r="I751" s="1"/>
    </row>
    <row r="752" spans="1:9" x14ac:dyDescent="0.3">
      <c r="A752" t="s">
        <v>264</v>
      </c>
      <c r="B752" t="s">
        <v>690</v>
      </c>
      <c r="C752" s="1">
        <v>1</v>
      </c>
      <c r="D752" s="1">
        <v>15500000</v>
      </c>
      <c r="E752" s="1"/>
      <c r="F752" s="1"/>
      <c r="G752" s="1"/>
      <c r="H752" s="1"/>
      <c r="I752" s="1"/>
    </row>
    <row r="753" spans="1:9" x14ac:dyDescent="0.3">
      <c r="A753" t="s">
        <v>264</v>
      </c>
      <c r="B753" t="s">
        <v>37</v>
      </c>
      <c r="C753" s="1">
        <v>5</v>
      </c>
      <c r="D753" s="1">
        <v>24000000</v>
      </c>
      <c r="E753" s="1"/>
      <c r="F753" s="1"/>
      <c r="G753" s="1"/>
      <c r="H753" s="1"/>
      <c r="I753" s="1"/>
    </row>
    <row r="754" spans="1:9" x14ac:dyDescent="0.3">
      <c r="A754" t="s">
        <v>264</v>
      </c>
      <c r="B754" t="s">
        <v>691</v>
      </c>
      <c r="C754" s="1"/>
      <c r="D754" s="1">
        <v>21500000</v>
      </c>
      <c r="E754" s="1"/>
      <c r="F754" s="1"/>
      <c r="G754" s="1"/>
      <c r="H754" s="1"/>
      <c r="I754" s="1"/>
    </row>
    <row r="755" spans="1:9" x14ac:dyDescent="0.3">
      <c r="A755" t="s">
        <v>264</v>
      </c>
      <c r="B755" t="s">
        <v>359</v>
      </c>
      <c r="C755" s="1">
        <v>1</v>
      </c>
      <c r="D755" s="1">
        <v>15500000</v>
      </c>
      <c r="E755" s="1"/>
      <c r="F755" s="1"/>
      <c r="G755" s="1"/>
      <c r="H755" s="1"/>
      <c r="I755" s="1"/>
    </row>
    <row r="756" spans="1:9" x14ac:dyDescent="0.3">
      <c r="A756" t="s">
        <v>264</v>
      </c>
      <c r="B756" t="s">
        <v>692</v>
      </c>
      <c r="C756" s="1">
        <v>1</v>
      </c>
      <c r="D756" s="1">
        <v>17500000</v>
      </c>
      <c r="E756" s="1"/>
      <c r="F756" s="1"/>
      <c r="G756" s="1"/>
      <c r="H756" s="1"/>
      <c r="I756" s="1"/>
    </row>
    <row r="757" spans="1:9" x14ac:dyDescent="0.3">
      <c r="A757" t="s">
        <v>264</v>
      </c>
      <c r="B757" t="s">
        <v>693</v>
      </c>
      <c r="C757" s="1">
        <v>1</v>
      </c>
      <c r="D757" s="1">
        <v>13500000</v>
      </c>
      <c r="E757" s="1"/>
      <c r="F757" s="1"/>
      <c r="G757" s="1"/>
      <c r="H757" s="1"/>
      <c r="I757" s="1"/>
    </row>
    <row r="758" spans="1:9" x14ac:dyDescent="0.3">
      <c r="A758" t="s">
        <v>264</v>
      </c>
      <c r="B758" t="s">
        <v>694</v>
      </c>
      <c r="C758" s="1"/>
      <c r="D758" s="1">
        <v>21000000</v>
      </c>
      <c r="E758" s="1"/>
      <c r="F758" s="1"/>
      <c r="G758" s="1"/>
      <c r="H758" s="1"/>
      <c r="I758" s="1"/>
    </row>
    <row r="759" spans="1:9" x14ac:dyDescent="0.3">
      <c r="A759" t="s">
        <v>264</v>
      </c>
      <c r="B759" t="s">
        <v>695</v>
      </c>
      <c r="C759" s="1">
        <v>1</v>
      </c>
      <c r="D759" s="1">
        <v>31500000</v>
      </c>
      <c r="E759" s="1"/>
      <c r="F759" s="1"/>
      <c r="G759" s="1"/>
      <c r="H759" s="1"/>
      <c r="I759" s="1"/>
    </row>
    <row r="760" spans="1:9" x14ac:dyDescent="0.3">
      <c r="A760" t="s">
        <v>264</v>
      </c>
      <c r="B760" t="s">
        <v>696</v>
      </c>
      <c r="C760" s="1">
        <v>1</v>
      </c>
      <c r="D760" s="1">
        <v>21000000</v>
      </c>
      <c r="E760" s="1"/>
      <c r="F760" s="1"/>
      <c r="G760" s="1"/>
      <c r="H760" s="1"/>
      <c r="I760" s="1"/>
    </row>
    <row r="761" spans="1:9" x14ac:dyDescent="0.3">
      <c r="A761" t="s">
        <v>264</v>
      </c>
      <c r="B761" t="s">
        <v>697</v>
      </c>
      <c r="C761" s="1">
        <v>1</v>
      </c>
      <c r="D761" s="1">
        <v>21000000</v>
      </c>
      <c r="E761" s="1"/>
      <c r="F761" s="1"/>
      <c r="G761" s="1"/>
      <c r="H761" s="1"/>
      <c r="I761" s="1"/>
    </row>
    <row r="762" spans="1:9" x14ac:dyDescent="0.3">
      <c r="A762" t="s">
        <v>264</v>
      </c>
      <c r="B762" t="s">
        <v>698</v>
      </c>
      <c r="C762" s="1"/>
      <c r="D762" s="1">
        <v>19000000</v>
      </c>
      <c r="E762" s="1"/>
      <c r="F762" s="1"/>
      <c r="G762" s="1"/>
      <c r="H762" s="1"/>
      <c r="I762" s="1"/>
    </row>
    <row r="763" spans="1:9" x14ac:dyDescent="0.3">
      <c r="A763" t="s">
        <v>264</v>
      </c>
      <c r="B763" t="s">
        <v>699</v>
      </c>
      <c r="C763" s="1">
        <v>1</v>
      </c>
      <c r="D763" s="1">
        <v>31000000</v>
      </c>
      <c r="E763" s="1"/>
      <c r="F763" s="1"/>
      <c r="G763" s="1"/>
      <c r="H763" s="1"/>
      <c r="I763" s="1"/>
    </row>
    <row r="764" spans="1:9" x14ac:dyDescent="0.3">
      <c r="A764" t="s">
        <v>264</v>
      </c>
      <c r="B764" t="s">
        <v>700</v>
      </c>
      <c r="C764" s="1">
        <v>1</v>
      </c>
      <c r="D764" s="1">
        <v>34000000</v>
      </c>
      <c r="E764" s="1"/>
      <c r="F764" s="1"/>
      <c r="G764" s="1"/>
      <c r="H764" s="1"/>
      <c r="I764" s="1"/>
    </row>
    <row r="765" spans="1:9" x14ac:dyDescent="0.3">
      <c r="A765" t="s">
        <v>264</v>
      </c>
      <c r="B765" t="s">
        <v>701</v>
      </c>
      <c r="C765" s="1">
        <v>1</v>
      </c>
      <c r="D765" s="1"/>
      <c r="E765" s="1"/>
      <c r="F765" s="1"/>
      <c r="G765" s="1"/>
      <c r="H765" s="1"/>
      <c r="I765" s="1"/>
    </row>
    <row r="766" spans="1:9" x14ac:dyDescent="0.3">
      <c r="A766" t="s">
        <v>264</v>
      </c>
      <c r="B766" t="s">
        <v>361</v>
      </c>
      <c r="C766" s="1">
        <v>7</v>
      </c>
      <c r="D766" s="1">
        <v>18000000</v>
      </c>
      <c r="E766" s="1"/>
      <c r="F766" s="1"/>
      <c r="G766" s="1"/>
      <c r="H766" s="1"/>
      <c r="I766" s="1"/>
    </row>
    <row r="767" spans="1:9" x14ac:dyDescent="0.3">
      <c r="A767" t="s">
        <v>264</v>
      </c>
      <c r="B767" t="s">
        <v>362</v>
      </c>
      <c r="C767" s="1">
        <v>0</v>
      </c>
      <c r="D767" s="1">
        <v>20000000</v>
      </c>
      <c r="E767" s="1"/>
      <c r="F767" s="1"/>
      <c r="G767" s="1"/>
      <c r="H767" s="1"/>
      <c r="I767" s="1"/>
    </row>
    <row r="768" spans="1:9" x14ac:dyDescent="0.3">
      <c r="A768" t="s">
        <v>264</v>
      </c>
      <c r="B768" t="s">
        <v>702</v>
      </c>
      <c r="C768" s="1">
        <v>1</v>
      </c>
      <c r="D768" s="1"/>
      <c r="E768" s="1"/>
      <c r="F768" s="1"/>
      <c r="G768" s="1"/>
      <c r="H768" s="1"/>
      <c r="I768" s="1"/>
    </row>
    <row r="769" spans="1:9" x14ac:dyDescent="0.3">
      <c r="A769" t="s">
        <v>125</v>
      </c>
      <c r="B769" t="s">
        <v>703</v>
      </c>
      <c r="C769" s="1">
        <v>2</v>
      </c>
      <c r="D769" s="1">
        <v>350000</v>
      </c>
      <c r="E769" s="1"/>
      <c r="F769" s="1"/>
      <c r="G769" s="1"/>
      <c r="H769" s="1"/>
      <c r="I769" s="1"/>
    </row>
    <row r="770" spans="1:9" x14ac:dyDescent="0.3">
      <c r="A770" t="s">
        <v>125</v>
      </c>
      <c r="B770" t="s">
        <v>704</v>
      </c>
      <c r="C770" s="1">
        <v>2</v>
      </c>
      <c r="D770" s="1">
        <v>400000</v>
      </c>
      <c r="E770" s="1"/>
      <c r="F770" s="1"/>
      <c r="G770" s="1"/>
      <c r="H770" s="1"/>
      <c r="I770" s="1"/>
    </row>
    <row r="771" spans="1:9" x14ac:dyDescent="0.3">
      <c r="A771" t="s">
        <v>125</v>
      </c>
      <c r="B771" t="s">
        <v>705</v>
      </c>
      <c r="C771" s="1">
        <v>1</v>
      </c>
      <c r="D771" s="1">
        <v>100000</v>
      </c>
      <c r="E771" s="1"/>
      <c r="F771" s="1"/>
      <c r="G771" s="1"/>
      <c r="H771" s="1"/>
      <c r="I771" s="1"/>
    </row>
    <row r="772" spans="1:9" x14ac:dyDescent="0.3">
      <c r="A772" t="s">
        <v>125</v>
      </c>
      <c r="B772" t="s">
        <v>706</v>
      </c>
      <c r="C772" s="1"/>
      <c r="D772" s="1">
        <v>390000</v>
      </c>
      <c r="E772" s="1"/>
      <c r="F772" s="1"/>
      <c r="G772" s="1"/>
      <c r="H772" s="1"/>
      <c r="I772" s="1"/>
    </row>
    <row r="773" spans="1:9" x14ac:dyDescent="0.3">
      <c r="A773" t="s">
        <v>125</v>
      </c>
      <c r="B773" t="s">
        <v>707</v>
      </c>
      <c r="C773" s="1">
        <v>1</v>
      </c>
      <c r="D773" s="1">
        <v>500000</v>
      </c>
      <c r="E773" s="1"/>
      <c r="F773" s="1"/>
      <c r="G773" s="1"/>
      <c r="H773" s="1"/>
      <c r="I773" s="1"/>
    </row>
    <row r="774" spans="1:9" x14ac:dyDescent="0.3">
      <c r="A774" t="s">
        <v>125</v>
      </c>
      <c r="B774" t="s">
        <v>708</v>
      </c>
      <c r="C774" s="1">
        <v>1</v>
      </c>
      <c r="D774" s="1">
        <v>500000</v>
      </c>
      <c r="E774" s="1"/>
      <c r="F774" s="1"/>
      <c r="G774" s="1"/>
      <c r="H774" s="1"/>
      <c r="I774" s="1"/>
    </row>
    <row r="775" spans="1:9" x14ac:dyDescent="0.3">
      <c r="A775" t="s">
        <v>125</v>
      </c>
      <c r="B775" t="s">
        <v>709</v>
      </c>
      <c r="C775" s="1">
        <v>1</v>
      </c>
      <c r="D775" s="1"/>
      <c r="E775" s="1"/>
      <c r="F775" s="1"/>
      <c r="G775" s="1"/>
      <c r="H775" s="1"/>
      <c r="I775" s="1"/>
    </row>
    <row r="776" spans="1:9" x14ac:dyDescent="0.3">
      <c r="A776" t="s">
        <v>125</v>
      </c>
      <c r="B776" t="s">
        <v>710</v>
      </c>
      <c r="C776" s="1">
        <v>7</v>
      </c>
      <c r="D776" s="1">
        <v>1600000</v>
      </c>
      <c r="E776" s="1"/>
      <c r="F776" s="1"/>
      <c r="G776" s="1"/>
      <c r="H776" s="1"/>
      <c r="I776" s="1"/>
    </row>
    <row r="777" spans="1:9" x14ac:dyDescent="0.3">
      <c r="A777" t="s">
        <v>125</v>
      </c>
      <c r="B777" t="s">
        <v>711</v>
      </c>
      <c r="C777" s="1">
        <v>1</v>
      </c>
      <c r="D777" s="1"/>
      <c r="E777" s="1"/>
      <c r="F777" s="1"/>
      <c r="G777" s="1"/>
      <c r="H777" s="1"/>
      <c r="I777" s="1"/>
    </row>
    <row r="778" spans="1:9" x14ac:dyDescent="0.3">
      <c r="A778" t="s">
        <v>125</v>
      </c>
      <c r="B778" t="s">
        <v>712</v>
      </c>
      <c r="C778" s="1">
        <v>1</v>
      </c>
      <c r="D778" s="1">
        <v>1000000</v>
      </c>
      <c r="E778" s="1"/>
      <c r="F778" s="1"/>
      <c r="G778" s="1"/>
      <c r="H778" s="1"/>
      <c r="I778" s="1"/>
    </row>
    <row r="779" spans="1:9" x14ac:dyDescent="0.3">
      <c r="A779" t="s">
        <v>125</v>
      </c>
      <c r="B779" t="s">
        <v>713</v>
      </c>
      <c r="C779" s="1">
        <v>1</v>
      </c>
      <c r="D779" s="1">
        <v>500000</v>
      </c>
      <c r="E779" s="1"/>
      <c r="F779" s="1"/>
      <c r="G779" s="1"/>
      <c r="H779" s="1"/>
      <c r="I779" s="1"/>
    </row>
    <row r="780" spans="1:9" x14ac:dyDescent="0.3">
      <c r="A780" t="s">
        <v>125</v>
      </c>
      <c r="B780" t="s">
        <v>714</v>
      </c>
      <c r="C780" s="1">
        <v>1</v>
      </c>
      <c r="D780" s="1">
        <v>450000</v>
      </c>
      <c r="E780" s="1"/>
      <c r="F780" s="1"/>
      <c r="G780" s="1"/>
      <c r="H780" s="1"/>
      <c r="I780" s="1"/>
    </row>
    <row r="781" spans="1:9" x14ac:dyDescent="0.3">
      <c r="A781" t="s">
        <v>125</v>
      </c>
      <c r="B781" t="s">
        <v>169</v>
      </c>
      <c r="C781" s="1">
        <v>2</v>
      </c>
      <c r="D781" s="1">
        <v>1790000</v>
      </c>
      <c r="E781" s="1"/>
      <c r="F781" s="1"/>
      <c r="G781" s="1"/>
      <c r="H781" s="1"/>
      <c r="I781" s="1"/>
    </row>
    <row r="782" spans="1:9" x14ac:dyDescent="0.3">
      <c r="A782" t="s">
        <v>125</v>
      </c>
      <c r="B782" t="s">
        <v>715</v>
      </c>
      <c r="C782" s="1">
        <v>2</v>
      </c>
      <c r="D782" s="1">
        <v>1200000</v>
      </c>
      <c r="E782" s="1"/>
      <c r="F782" s="1"/>
      <c r="G782" s="1"/>
      <c r="H782" s="1"/>
      <c r="I782" s="1"/>
    </row>
    <row r="783" spans="1:9" x14ac:dyDescent="0.3">
      <c r="A783" t="s">
        <v>125</v>
      </c>
      <c r="B783" t="s">
        <v>716</v>
      </c>
      <c r="C783" s="1">
        <v>2</v>
      </c>
      <c r="D783" s="1">
        <v>690000</v>
      </c>
      <c r="E783" s="1"/>
      <c r="F783" s="1"/>
      <c r="G783" s="1"/>
      <c r="H783" s="1"/>
      <c r="I783" s="1"/>
    </row>
    <row r="784" spans="1:9" x14ac:dyDescent="0.3">
      <c r="A784" t="s">
        <v>125</v>
      </c>
      <c r="B784" t="s">
        <v>717</v>
      </c>
      <c r="C784" s="1">
        <v>1</v>
      </c>
      <c r="D784" s="1">
        <v>690000</v>
      </c>
      <c r="E784" s="1"/>
      <c r="F784" s="1"/>
      <c r="G784" s="1"/>
      <c r="H784" s="1"/>
      <c r="I784" s="1"/>
    </row>
    <row r="785" spans="1:9" x14ac:dyDescent="0.3">
      <c r="A785" t="s">
        <v>125</v>
      </c>
      <c r="B785" t="s">
        <v>718</v>
      </c>
      <c r="C785" s="1">
        <v>1</v>
      </c>
      <c r="D785" s="1">
        <v>1800000</v>
      </c>
      <c r="E785" s="1"/>
      <c r="F785" s="1"/>
      <c r="G785" s="1"/>
      <c r="H785" s="1"/>
      <c r="I785" s="1"/>
    </row>
    <row r="786" spans="1:9" x14ac:dyDescent="0.3">
      <c r="A786" t="s">
        <v>125</v>
      </c>
      <c r="B786" t="s">
        <v>719</v>
      </c>
      <c r="C786" s="1">
        <v>1</v>
      </c>
      <c r="D786" s="1">
        <v>1300000</v>
      </c>
      <c r="E786" s="1"/>
      <c r="F786" s="1"/>
      <c r="G786" s="1"/>
      <c r="H786" s="1"/>
      <c r="I786" s="1"/>
    </row>
    <row r="787" spans="1:9" x14ac:dyDescent="0.3">
      <c r="A787" t="s">
        <v>125</v>
      </c>
      <c r="B787" t="s">
        <v>720</v>
      </c>
      <c r="C787" s="1">
        <v>1</v>
      </c>
      <c r="D787" s="1">
        <v>1000000</v>
      </c>
      <c r="E787" s="1"/>
      <c r="F787" s="1"/>
      <c r="G787" s="1"/>
      <c r="H787" s="1"/>
      <c r="I787" s="1"/>
    </row>
    <row r="788" spans="1:9" x14ac:dyDescent="0.3">
      <c r="A788" t="s">
        <v>125</v>
      </c>
      <c r="B788" t="s">
        <v>721</v>
      </c>
      <c r="C788" s="1">
        <v>1</v>
      </c>
      <c r="D788" s="1">
        <v>600000</v>
      </c>
      <c r="E788" s="1"/>
      <c r="F788" s="1"/>
      <c r="G788" s="1"/>
      <c r="H788" s="1"/>
      <c r="I788" s="1"/>
    </row>
    <row r="789" spans="1:9" x14ac:dyDescent="0.3">
      <c r="A789" t="s">
        <v>125</v>
      </c>
      <c r="B789" t="s">
        <v>722</v>
      </c>
      <c r="C789" s="1">
        <v>1</v>
      </c>
      <c r="D789" s="1">
        <v>600000</v>
      </c>
      <c r="E789" s="1"/>
      <c r="F789" s="1"/>
      <c r="G789" s="1"/>
      <c r="H789" s="1"/>
      <c r="I789" s="1"/>
    </row>
    <row r="790" spans="1:9" x14ac:dyDescent="0.3">
      <c r="A790" t="s">
        <v>125</v>
      </c>
      <c r="B790" t="s">
        <v>723</v>
      </c>
      <c r="C790" s="1"/>
      <c r="D790" s="1">
        <v>3400000</v>
      </c>
      <c r="E790" s="1"/>
      <c r="F790" s="1"/>
      <c r="G790" s="1"/>
      <c r="H790" s="1"/>
      <c r="I790" s="1"/>
    </row>
    <row r="791" spans="1:9" x14ac:dyDescent="0.3">
      <c r="A791" t="s">
        <v>125</v>
      </c>
      <c r="B791" t="s">
        <v>724</v>
      </c>
      <c r="C791" s="1"/>
      <c r="D791" s="1">
        <v>2600000</v>
      </c>
      <c r="E791" s="1"/>
      <c r="F791" s="1"/>
      <c r="G791" s="1"/>
      <c r="H791" s="1"/>
      <c r="I791" s="1"/>
    </row>
    <row r="792" spans="1:9" x14ac:dyDescent="0.3">
      <c r="A792" t="s">
        <v>125</v>
      </c>
      <c r="B792" t="s">
        <v>725</v>
      </c>
      <c r="C792" s="1">
        <v>5</v>
      </c>
      <c r="D792" s="1">
        <v>1600000</v>
      </c>
      <c r="E792" s="1"/>
      <c r="F792" s="1"/>
      <c r="G792" s="1"/>
      <c r="H792" s="1"/>
      <c r="I792" s="1"/>
    </row>
    <row r="793" spans="1:9" x14ac:dyDescent="0.3">
      <c r="A793" t="s">
        <v>125</v>
      </c>
      <c r="B793" t="s">
        <v>726</v>
      </c>
      <c r="C793" s="1">
        <v>2</v>
      </c>
      <c r="D793" s="1">
        <v>1400000</v>
      </c>
      <c r="E793" s="1"/>
      <c r="F793" s="1"/>
      <c r="G793" s="1"/>
      <c r="H793" s="1"/>
      <c r="I793" s="1"/>
    </row>
    <row r="794" spans="1:9" x14ac:dyDescent="0.3">
      <c r="A794" t="s">
        <v>121</v>
      </c>
      <c r="B794" t="s">
        <v>44</v>
      </c>
      <c r="C794" s="1">
        <v>2</v>
      </c>
      <c r="D794" s="1">
        <v>2100000</v>
      </c>
      <c r="E794" s="1"/>
      <c r="F794" s="1"/>
      <c r="G794" s="1"/>
      <c r="H794" s="1"/>
      <c r="I794" s="1"/>
    </row>
    <row r="795" spans="1:9" x14ac:dyDescent="0.3">
      <c r="A795" t="s">
        <v>121</v>
      </c>
      <c r="B795" t="s">
        <v>727</v>
      </c>
      <c r="C795" s="1">
        <v>1</v>
      </c>
      <c r="D795" s="1">
        <v>2990000</v>
      </c>
      <c r="E795" s="1"/>
      <c r="F795" s="1"/>
      <c r="G795" s="1"/>
      <c r="H795" s="1"/>
      <c r="I795" s="1"/>
    </row>
    <row r="796" spans="1:9" x14ac:dyDescent="0.3">
      <c r="A796" t="s">
        <v>121</v>
      </c>
      <c r="B796" t="s">
        <v>728</v>
      </c>
      <c r="C796" s="1">
        <v>1</v>
      </c>
      <c r="D796" s="1"/>
      <c r="E796" s="1"/>
      <c r="F796" s="1"/>
      <c r="G796" s="1"/>
      <c r="H796" s="1"/>
      <c r="I796" s="1"/>
    </row>
    <row r="797" spans="1:9" x14ac:dyDescent="0.3">
      <c r="A797" t="s">
        <v>121</v>
      </c>
      <c r="B797" t="s">
        <v>729</v>
      </c>
      <c r="C797" s="1">
        <v>1</v>
      </c>
      <c r="D797" s="1"/>
      <c r="E797" s="1"/>
      <c r="F797" s="1"/>
      <c r="G797" s="1"/>
      <c r="H797" s="1"/>
      <c r="I797" s="1"/>
    </row>
    <row r="798" spans="1:9" x14ac:dyDescent="0.3">
      <c r="A798" t="s">
        <v>121</v>
      </c>
      <c r="B798" t="s">
        <v>730</v>
      </c>
      <c r="C798" s="1">
        <v>1</v>
      </c>
      <c r="D798" s="1">
        <v>5800000</v>
      </c>
      <c r="E798" s="1"/>
      <c r="F798" s="1"/>
      <c r="G798" s="1"/>
      <c r="H798" s="1"/>
      <c r="I798" s="1"/>
    </row>
    <row r="799" spans="1:9" x14ac:dyDescent="0.3">
      <c r="A799" t="s">
        <v>121</v>
      </c>
      <c r="B799" t="s">
        <v>731</v>
      </c>
      <c r="C799" s="1">
        <v>1</v>
      </c>
      <c r="D799" s="1">
        <v>5000000</v>
      </c>
      <c r="E799" s="1"/>
      <c r="F799" s="1"/>
      <c r="G799" s="1"/>
      <c r="H799" s="1"/>
      <c r="I799" s="1"/>
    </row>
    <row r="800" spans="1:9" x14ac:dyDescent="0.3">
      <c r="A800" t="s">
        <v>175</v>
      </c>
      <c r="B800" t="s">
        <v>732</v>
      </c>
      <c r="C800" s="1">
        <v>1</v>
      </c>
      <c r="D800" s="1">
        <v>2400000</v>
      </c>
      <c r="E800" s="1"/>
      <c r="F800" s="1"/>
      <c r="G800" s="1"/>
      <c r="H800" s="1"/>
      <c r="I800" s="1"/>
    </row>
    <row r="801" spans="1:9" x14ac:dyDescent="0.3">
      <c r="A801" t="s">
        <v>175</v>
      </c>
      <c r="B801" t="s">
        <v>733</v>
      </c>
      <c r="C801" s="1">
        <v>1</v>
      </c>
      <c r="D801" s="1">
        <v>5290000</v>
      </c>
      <c r="E801" s="1"/>
      <c r="F801" s="1"/>
      <c r="G801" s="1"/>
      <c r="H801" s="1"/>
      <c r="I801" s="1"/>
    </row>
    <row r="802" spans="1:9" x14ac:dyDescent="0.3">
      <c r="A802" t="s">
        <v>175</v>
      </c>
      <c r="B802" t="s">
        <v>734</v>
      </c>
      <c r="C802" s="1">
        <v>1</v>
      </c>
      <c r="D802" s="1">
        <v>4300000</v>
      </c>
      <c r="E802" s="1"/>
      <c r="F802" s="1"/>
      <c r="G802" s="1"/>
      <c r="H802" s="1"/>
      <c r="I802" s="1"/>
    </row>
    <row r="803" spans="1:9" x14ac:dyDescent="0.3">
      <c r="A803" t="s">
        <v>175</v>
      </c>
      <c r="B803" t="s">
        <v>176</v>
      </c>
      <c r="C803" s="1"/>
      <c r="D803" s="1">
        <v>2400000</v>
      </c>
      <c r="E803" s="1"/>
      <c r="F803" s="1"/>
      <c r="G803" s="1"/>
      <c r="H803" s="1"/>
      <c r="I803" s="1"/>
    </row>
    <row r="804" spans="1:9" x14ac:dyDescent="0.3">
      <c r="A804" t="s">
        <v>175</v>
      </c>
      <c r="B804" t="s">
        <v>735</v>
      </c>
      <c r="C804" s="1">
        <v>1</v>
      </c>
      <c r="D804" s="1">
        <v>4200000</v>
      </c>
      <c r="E804" s="1"/>
      <c r="F804" s="1"/>
      <c r="G804" s="1"/>
      <c r="H804" s="1"/>
      <c r="I804" s="1"/>
    </row>
    <row r="805" spans="1:9" x14ac:dyDescent="0.3">
      <c r="A805" t="s">
        <v>175</v>
      </c>
      <c r="B805" t="s">
        <v>106</v>
      </c>
      <c r="C805" s="1">
        <v>1</v>
      </c>
      <c r="D805" s="1">
        <v>5500000</v>
      </c>
      <c r="E805" s="1"/>
      <c r="F805" s="1"/>
      <c r="G805" s="1"/>
      <c r="H805" s="1"/>
      <c r="I805" s="1"/>
    </row>
    <row r="806" spans="1:9" x14ac:dyDescent="0.3">
      <c r="A806" t="s">
        <v>175</v>
      </c>
      <c r="B806" t="s">
        <v>736</v>
      </c>
      <c r="C806" s="1">
        <v>6</v>
      </c>
      <c r="D806" s="1">
        <v>3990000</v>
      </c>
      <c r="E806" s="1"/>
      <c r="F806" s="1"/>
      <c r="G806" s="1"/>
      <c r="H806" s="1"/>
      <c r="I806" s="1"/>
    </row>
    <row r="807" spans="1:9" x14ac:dyDescent="0.3">
      <c r="A807" t="s">
        <v>175</v>
      </c>
      <c r="B807" t="s">
        <v>737</v>
      </c>
      <c r="C807" s="1">
        <v>8</v>
      </c>
      <c r="D807" s="1">
        <v>3990000</v>
      </c>
      <c r="E807" s="1"/>
      <c r="F807" s="1"/>
      <c r="G807" s="1"/>
      <c r="H807" s="1"/>
      <c r="I807" s="1"/>
    </row>
    <row r="808" spans="1:9" x14ac:dyDescent="0.3">
      <c r="A808" t="s">
        <v>96</v>
      </c>
      <c r="B808" t="s">
        <v>738</v>
      </c>
      <c r="C808" s="1">
        <v>1</v>
      </c>
      <c r="D808" s="1">
        <v>400000</v>
      </c>
      <c r="E808" s="1"/>
      <c r="F808" s="1"/>
      <c r="G808" s="1"/>
      <c r="H808" s="1"/>
      <c r="I808" s="1"/>
    </row>
    <row r="809" spans="1:9" x14ac:dyDescent="0.3">
      <c r="A809" t="s">
        <v>96</v>
      </c>
      <c r="B809" t="s">
        <v>103</v>
      </c>
      <c r="C809" s="1">
        <v>1</v>
      </c>
      <c r="D809" s="1">
        <v>2250000</v>
      </c>
      <c r="E809" s="1"/>
      <c r="F809" s="1"/>
      <c r="G809" s="1"/>
      <c r="H809" s="1"/>
      <c r="I809" s="1"/>
    </row>
    <row r="810" spans="1:9" x14ac:dyDescent="0.3">
      <c r="A810" t="s">
        <v>96</v>
      </c>
      <c r="B810" t="s">
        <v>739</v>
      </c>
      <c r="C810" s="1">
        <v>4</v>
      </c>
      <c r="D810" s="1">
        <v>2700000</v>
      </c>
      <c r="E810" s="1"/>
      <c r="F810" s="1"/>
      <c r="G810" s="1"/>
      <c r="H810" s="1"/>
      <c r="I810" s="1"/>
    </row>
    <row r="811" spans="1:9" x14ac:dyDescent="0.3">
      <c r="A811" t="s">
        <v>96</v>
      </c>
      <c r="B811" t="s">
        <v>740</v>
      </c>
      <c r="C811" s="1">
        <v>1</v>
      </c>
      <c r="D811" s="1">
        <v>2500000</v>
      </c>
      <c r="E811" s="1"/>
      <c r="F811" s="1"/>
      <c r="G811" s="1"/>
      <c r="H811" s="1"/>
      <c r="I811" s="1"/>
    </row>
    <row r="812" spans="1:9" x14ac:dyDescent="0.3">
      <c r="A812" t="s">
        <v>96</v>
      </c>
      <c r="B812" t="s">
        <v>384</v>
      </c>
      <c r="C812" s="1">
        <v>1</v>
      </c>
      <c r="D812" s="1">
        <v>2700000</v>
      </c>
      <c r="E812" s="1"/>
      <c r="F812" s="1"/>
      <c r="G812" s="1"/>
      <c r="H812" s="1"/>
      <c r="I812" s="1"/>
    </row>
    <row r="813" spans="1:9" x14ac:dyDescent="0.3">
      <c r="A813" t="s">
        <v>96</v>
      </c>
      <c r="B813" t="s">
        <v>741</v>
      </c>
      <c r="C813" s="1">
        <v>1</v>
      </c>
      <c r="D813" s="1">
        <v>3600000</v>
      </c>
      <c r="E813" s="1"/>
      <c r="F813" s="1"/>
      <c r="G813" s="1"/>
      <c r="H813" s="1"/>
      <c r="I813" s="1"/>
    </row>
    <row r="814" spans="1:9" x14ac:dyDescent="0.3">
      <c r="A814" t="s">
        <v>96</v>
      </c>
      <c r="B814" t="s">
        <v>741</v>
      </c>
      <c r="C814" s="1"/>
      <c r="D814" s="1">
        <v>3000000</v>
      </c>
      <c r="E814" s="1"/>
      <c r="F814" s="1"/>
      <c r="G814" s="1"/>
      <c r="H814" s="1"/>
      <c r="I814" s="1"/>
    </row>
    <row r="815" spans="1:9" x14ac:dyDescent="0.3">
      <c r="A815" t="s">
        <v>96</v>
      </c>
      <c r="B815" t="s">
        <v>742</v>
      </c>
      <c r="C815" s="1">
        <v>1</v>
      </c>
      <c r="D815" s="1">
        <v>3200000</v>
      </c>
      <c r="E815" s="1"/>
      <c r="F815" s="1"/>
      <c r="G815" s="1"/>
      <c r="H815" s="1"/>
      <c r="I815" s="1"/>
    </row>
    <row r="816" spans="1:9" x14ac:dyDescent="0.3">
      <c r="A816" t="s">
        <v>96</v>
      </c>
      <c r="B816" t="s">
        <v>743</v>
      </c>
      <c r="C816" s="1">
        <v>1</v>
      </c>
      <c r="D816" s="1"/>
      <c r="E816" s="1"/>
      <c r="F816" s="1"/>
      <c r="G816" s="1"/>
      <c r="H816" s="1"/>
      <c r="I816" s="1"/>
    </row>
    <row r="817" spans="1:9" x14ac:dyDescent="0.3">
      <c r="A817" t="s">
        <v>96</v>
      </c>
      <c r="B817" t="s">
        <v>744</v>
      </c>
      <c r="C817" s="1"/>
      <c r="D817" s="1">
        <v>3000000</v>
      </c>
      <c r="E817" s="1"/>
      <c r="F817" s="1"/>
      <c r="G817" s="1"/>
      <c r="H817" s="1"/>
      <c r="I817" s="1"/>
    </row>
    <row r="818" spans="1:9" x14ac:dyDescent="0.3">
      <c r="A818" t="s">
        <v>96</v>
      </c>
      <c r="B818" t="s">
        <v>745</v>
      </c>
      <c r="C818" s="1">
        <v>0</v>
      </c>
      <c r="D818" s="1">
        <v>3200000</v>
      </c>
      <c r="E818" s="1"/>
      <c r="F818" s="1"/>
      <c r="G818" s="1"/>
      <c r="H818" s="1"/>
      <c r="I818" s="1"/>
    </row>
    <row r="819" spans="1:9" x14ac:dyDescent="0.3">
      <c r="A819" t="s">
        <v>96</v>
      </c>
      <c r="B819" t="s">
        <v>387</v>
      </c>
      <c r="C819" s="1">
        <v>1</v>
      </c>
      <c r="D819" s="1">
        <v>4500000</v>
      </c>
      <c r="E819" s="1"/>
      <c r="F819" s="1"/>
      <c r="G819" s="1"/>
      <c r="H819" s="1"/>
      <c r="I819" s="1"/>
    </row>
    <row r="820" spans="1:9" x14ac:dyDescent="0.3">
      <c r="A820" t="s">
        <v>96</v>
      </c>
      <c r="B820" t="s">
        <v>191</v>
      </c>
      <c r="C820" s="1">
        <v>1</v>
      </c>
      <c r="D820" s="1">
        <v>4000000</v>
      </c>
      <c r="E820" s="1"/>
      <c r="F820" s="1"/>
      <c r="G820" s="1"/>
      <c r="H820" s="1"/>
      <c r="I820" s="1"/>
    </row>
    <row r="821" spans="1:9" x14ac:dyDescent="0.3">
      <c r="A821" t="s">
        <v>96</v>
      </c>
      <c r="B821" t="s">
        <v>746</v>
      </c>
      <c r="C821" s="1"/>
      <c r="D821" s="1">
        <v>2800000</v>
      </c>
      <c r="E821" s="1"/>
      <c r="F821" s="1"/>
      <c r="G821" s="1"/>
      <c r="H821" s="1"/>
      <c r="I821" s="1"/>
    </row>
    <row r="822" spans="1:9" x14ac:dyDescent="0.3">
      <c r="A822" t="s">
        <v>96</v>
      </c>
      <c r="B822" t="s">
        <v>747</v>
      </c>
      <c r="C822" s="1"/>
      <c r="D822" s="1">
        <v>5000000</v>
      </c>
      <c r="E822" s="1"/>
      <c r="F822" s="1"/>
      <c r="G822" s="1"/>
      <c r="H822" s="1"/>
      <c r="I822" s="1"/>
    </row>
    <row r="823" spans="1:9" x14ac:dyDescent="0.3">
      <c r="A823" t="s">
        <v>96</v>
      </c>
      <c r="B823" t="s">
        <v>748</v>
      </c>
      <c r="C823" s="1"/>
      <c r="D823" s="1">
        <v>5500000</v>
      </c>
      <c r="E823" s="1"/>
      <c r="F823" s="1"/>
      <c r="G823" s="1"/>
      <c r="H823" s="1"/>
      <c r="I823" s="1"/>
    </row>
    <row r="824" spans="1:9" x14ac:dyDescent="0.3">
      <c r="A824" t="s">
        <v>96</v>
      </c>
      <c r="B824" t="s">
        <v>749</v>
      </c>
      <c r="C824" s="1"/>
      <c r="D824" s="1">
        <v>5500000</v>
      </c>
      <c r="E824" s="1"/>
      <c r="F824" s="1"/>
      <c r="G824" s="1"/>
      <c r="H824" s="1"/>
      <c r="I824" s="1"/>
    </row>
    <row r="825" spans="1:9" x14ac:dyDescent="0.3">
      <c r="A825" t="s">
        <v>96</v>
      </c>
      <c r="B825" t="s">
        <v>750</v>
      </c>
      <c r="C825" s="1"/>
      <c r="D825" s="1">
        <v>2600000</v>
      </c>
      <c r="E825" s="1"/>
      <c r="F825" s="1"/>
      <c r="G825" s="1"/>
      <c r="H825" s="1"/>
      <c r="I825" s="1"/>
    </row>
    <row r="826" spans="1:9" x14ac:dyDescent="0.3">
      <c r="A826" t="s">
        <v>96</v>
      </c>
      <c r="B826" t="s">
        <v>392</v>
      </c>
      <c r="C826" s="1">
        <v>1</v>
      </c>
      <c r="D826" s="1">
        <v>12000000</v>
      </c>
      <c r="E826" s="1"/>
      <c r="F826" s="1"/>
      <c r="G826" s="1"/>
      <c r="H826" s="1"/>
      <c r="I826" s="1"/>
    </row>
    <row r="827" spans="1:9" x14ac:dyDescent="0.3">
      <c r="A827" t="s">
        <v>96</v>
      </c>
      <c r="B827" t="s">
        <v>751</v>
      </c>
      <c r="C827" s="1"/>
      <c r="D827" s="1">
        <v>800000</v>
      </c>
      <c r="E827" s="1"/>
      <c r="F827" s="1"/>
      <c r="G827" s="1"/>
      <c r="H827" s="1"/>
      <c r="I827" s="1"/>
    </row>
    <row r="828" spans="1:9" x14ac:dyDescent="0.3">
      <c r="A828" t="s">
        <v>96</v>
      </c>
      <c r="B828" t="s">
        <v>752</v>
      </c>
      <c r="C828" s="1"/>
      <c r="D828" s="1">
        <v>7399000</v>
      </c>
      <c r="E828" s="1"/>
      <c r="F828" s="1"/>
      <c r="G828" s="1"/>
      <c r="H828" s="1"/>
      <c r="I828" s="1"/>
    </row>
    <row r="829" spans="1:9" x14ac:dyDescent="0.3">
      <c r="A829" t="s">
        <v>96</v>
      </c>
      <c r="B829" t="s">
        <v>753</v>
      </c>
      <c r="C829" s="1"/>
      <c r="D829" s="1">
        <v>4100000</v>
      </c>
      <c r="E829" s="1"/>
      <c r="F829" s="1"/>
      <c r="G829" s="1"/>
      <c r="H829" s="1"/>
      <c r="I829" s="1"/>
    </row>
    <row r="830" spans="1:9" x14ac:dyDescent="0.3">
      <c r="A830" t="s">
        <v>96</v>
      </c>
      <c r="B830" t="s">
        <v>754</v>
      </c>
      <c r="C830" s="1"/>
      <c r="D830" s="1">
        <v>6300000</v>
      </c>
      <c r="E830" s="1"/>
      <c r="F830" s="1"/>
      <c r="G830" s="1"/>
      <c r="H830" s="1"/>
      <c r="I830" s="1"/>
    </row>
    <row r="831" spans="1:9" x14ac:dyDescent="0.3">
      <c r="A831" t="s">
        <v>96</v>
      </c>
      <c r="B831" t="s">
        <v>755</v>
      </c>
      <c r="C831" s="1"/>
      <c r="D831" s="1">
        <v>4800000</v>
      </c>
      <c r="E831" s="1"/>
      <c r="F831" s="1"/>
      <c r="G831" s="1"/>
      <c r="H831" s="1"/>
      <c r="I831" s="1"/>
    </row>
    <row r="832" spans="1:9" x14ac:dyDescent="0.3">
      <c r="A832" t="s">
        <v>96</v>
      </c>
      <c r="B832" t="s">
        <v>756</v>
      </c>
      <c r="C832" s="1"/>
      <c r="D832" s="1">
        <v>2000000</v>
      </c>
      <c r="E832" s="1"/>
      <c r="F832" s="1"/>
      <c r="G832" s="1"/>
      <c r="H832" s="1"/>
      <c r="I832" s="1"/>
    </row>
    <row r="833" spans="1:9" x14ac:dyDescent="0.3">
      <c r="A833" t="s">
        <v>96</v>
      </c>
      <c r="B833" t="s">
        <v>757</v>
      </c>
      <c r="C833" s="1"/>
      <c r="D833" s="1">
        <v>7800000</v>
      </c>
      <c r="E833" s="1"/>
      <c r="F833" s="1"/>
      <c r="G833" s="1"/>
      <c r="H833" s="1"/>
      <c r="I833" s="1"/>
    </row>
    <row r="834" spans="1:9" x14ac:dyDescent="0.3">
      <c r="A834" t="s">
        <v>96</v>
      </c>
      <c r="B834" t="s">
        <v>757</v>
      </c>
      <c r="C834" s="1"/>
      <c r="D834" s="1">
        <v>7000000</v>
      </c>
      <c r="E834" s="1"/>
      <c r="F834" s="1"/>
      <c r="G834" s="1"/>
      <c r="H834" s="1"/>
      <c r="I834" s="1"/>
    </row>
    <row r="835" spans="1:9" x14ac:dyDescent="0.3">
      <c r="A835" t="s">
        <v>96</v>
      </c>
      <c r="B835" t="s">
        <v>757</v>
      </c>
      <c r="C835" s="1"/>
      <c r="D835" s="1">
        <v>9300000</v>
      </c>
      <c r="E835" s="1"/>
      <c r="F835" s="1"/>
      <c r="G835" s="1"/>
      <c r="H835" s="1"/>
      <c r="I835" s="1"/>
    </row>
    <row r="836" spans="1:9" x14ac:dyDescent="0.3">
      <c r="A836" t="s">
        <v>96</v>
      </c>
      <c r="B836" t="s">
        <v>758</v>
      </c>
      <c r="C836" s="1">
        <v>2</v>
      </c>
      <c r="D836" s="1">
        <v>14000000</v>
      </c>
      <c r="E836" s="1"/>
      <c r="F836" s="1"/>
      <c r="G836" s="1"/>
      <c r="H836" s="1"/>
      <c r="I836" s="1"/>
    </row>
    <row r="837" spans="1:9" x14ac:dyDescent="0.3">
      <c r="A837" t="s">
        <v>96</v>
      </c>
      <c r="B837" t="s">
        <v>759</v>
      </c>
      <c r="C837" s="1"/>
      <c r="D837" s="1">
        <v>9500000</v>
      </c>
      <c r="E837" s="1"/>
      <c r="F837" s="1"/>
      <c r="G837" s="1"/>
      <c r="H837" s="1"/>
      <c r="I837" s="1"/>
    </row>
    <row r="838" spans="1:9" x14ac:dyDescent="0.3">
      <c r="A838" t="s">
        <v>96</v>
      </c>
      <c r="B838" t="s">
        <v>393</v>
      </c>
      <c r="C838" s="1">
        <v>1</v>
      </c>
      <c r="D838" s="1">
        <v>7500000</v>
      </c>
      <c r="E838" s="1"/>
      <c r="F838" s="1"/>
      <c r="G838" s="1"/>
      <c r="H838" s="1"/>
      <c r="I838" s="1"/>
    </row>
    <row r="839" spans="1:9" x14ac:dyDescent="0.3">
      <c r="A839" t="s">
        <v>96</v>
      </c>
      <c r="B839" t="s">
        <v>393</v>
      </c>
      <c r="C839" s="1"/>
      <c r="D839" s="1">
        <v>8300000</v>
      </c>
      <c r="E839" s="1"/>
      <c r="F839" s="1"/>
      <c r="G839" s="1"/>
      <c r="H839" s="1"/>
      <c r="I839" s="1"/>
    </row>
    <row r="840" spans="1:9" x14ac:dyDescent="0.3">
      <c r="A840" t="s">
        <v>96</v>
      </c>
      <c r="B840" t="s">
        <v>760</v>
      </c>
      <c r="C840" s="1"/>
      <c r="D840" s="1">
        <v>8699000</v>
      </c>
      <c r="E840" s="1"/>
      <c r="F840" s="1"/>
      <c r="G840" s="1"/>
      <c r="H840" s="1"/>
      <c r="I840" s="1"/>
    </row>
    <row r="841" spans="1:9" x14ac:dyDescent="0.3">
      <c r="A841" t="s">
        <v>96</v>
      </c>
      <c r="B841" t="s">
        <v>761</v>
      </c>
      <c r="C841" s="1">
        <v>3</v>
      </c>
      <c r="D841" s="1">
        <v>9900000</v>
      </c>
      <c r="E841" s="1"/>
      <c r="F841" s="1"/>
      <c r="G841" s="1"/>
      <c r="H841" s="1"/>
      <c r="I841" s="1"/>
    </row>
    <row r="842" spans="1:9" x14ac:dyDescent="0.3">
      <c r="A842" t="s">
        <v>96</v>
      </c>
      <c r="B842" t="s">
        <v>762</v>
      </c>
      <c r="C842" s="1"/>
      <c r="D842" s="1">
        <v>4199000</v>
      </c>
      <c r="E842" s="1"/>
      <c r="F842" s="1"/>
      <c r="G842" s="1"/>
      <c r="H842" s="1"/>
      <c r="I842" s="1"/>
    </row>
    <row r="843" spans="1:9" x14ac:dyDescent="0.3">
      <c r="A843" t="s">
        <v>96</v>
      </c>
      <c r="B843" t="s">
        <v>763</v>
      </c>
      <c r="C843" s="1"/>
      <c r="D843" s="1">
        <v>11499000</v>
      </c>
      <c r="E843" s="1"/>
      <c r="F843" s="1"/>
      <c r="G843" s="1"/>
      <c r="H843" s="1"/>
      <c r="I843" s="1"/>
    </row>
    <row r="844" spans="1:9" x14ac:dyDescent="0.3">
      <c r="A844" t="s">
        <v>96</v>
      </c>
      <c r="B844" t="s">
        <v>764</v>
      </c>
      <c r="C844" s="1"/>
      <c r="D844" s="1">
        <v>6600000</v>
      </c>
      <c r="E844" s="1"/>
      <c r="F844" s="1"/>
      <c r="G844" s="1"/>
      <c r="H844" s="1"/>
      <c r="I844" s="1"/>
    </row>
    <row r="845" spans="1:9" x14ac:dyDescent="0.3">
      <c r="A845" t="s">
        <v>96</v>
      </c>
      <c r="B845" t="s">
        <v>765</v>
      </c>
      <c r="C845" s="1"/>
      <c r="D845" s="1">
        <v>5000000</v>
      </c>
      <c r="E845" s="1"/>
      <c r="F845" s="1"/>
      <c r="G845" s="1"/>
      <c r="H845" s="1"/>
      <c r="I845" s="1"/>
    </row>
    <row r="846" spans="1:9" x14ac:dyDescent="0.3">
      <c r="A846" t="s">
        <v>96</v>
      </c>
      <c r="B846" t="s">
        <v>766</v>
      </c>
      <c r="C846" s="1"/>
      <c r="D846" s="1">
        <v>5000000</v>
      </c>
      <c r="E846" s="1"/>
      <c r="F846" s="1"/>
      <c r="G846" s="1"/>
      <c r="H846" s="1"/>
      <c r="I846" s="1"/>
    </row>
    <row r="847" spans="1:9" x14ac:dyDescent="0.3">
      <c r="A847" t="s">
        <v>96</v>
      </c>
      <c r="B847" t="s">
        <v>767</v>
      </c>
      <c r="C847" s="1"/>
      <c r="D847" s="1">
        <v>8500000</v>
      </c>
      <c r="E847" s="1"/>
      <c r="F847" s="1"/>
      <c r="G847" s="1"/>
      <c r="H847" s="1"/>
      <c r="I847" s="1"/>
    </row>
    <row r="848" spans="1:9" x14ac:dyDescent="0.3">
      <c r="A848" t="s">
        <v>96</v>
      </c>
      <c r="B848" t="s">
        <v>768</v>
      </c>
      <c r="C848" s="1"/>
      <c r="D848" s="1">
        <v>11290000</v>
      </c>
      <c r="E848" s="1"/>
      <c r="F848" s="1"/>
      <c r="G848" s="1"/>
      <c r="H848" s="1"/>
      <c r="I848" s="1"/>
    </row>
    <row r="849" spans="1:9" x14ac:dyDescent="0.3">
      <c r="A849" t="s">
        <v>96</v>
      </c>
      <c r="B849" t="s">
        <v>769</v>
      </c>
      <c r="C849" s="1"/>
      <c r="D849" s="1">
        <v>6500000</v>
      </c>
      <c r="E849" s="1"/>
      <c r="F849" s="1"/>
      <c r="G849" s="1"/>
      <c r="H849" s="1"/>
      <c r="I849" s="1"/>
    </row>
    <row r="850" spans="1:9" x14ac:dyDescent="0.3">
      <c r="A850" t="s">
        <v>96</v>
      </c>
      <c r="B850" t="s">
        <v>770</v>
      </c>
      <c r="C850" s="1"/>
      <c r="D850" s="1">
        <v>7500000</v>
      </c>
      <c r="E850" s="1"/>
      <c r="F850" s="1"/>
      <c r="G850" s="1"/>
      <c r="H850" s="1"/>
      <c r="I850" s="1"/>
    </row>
    <row r="851" spans="1:9" x14ac:dyDescent="0.3">
      <c r="A851" t="s">
        <v>96</v>
      </c>
      <c r="B851" t="s">
        <v>771</v>
      </c>
      <c r="C851" s="1"/>
      <c r="D851" s="1">
        <v>9500000</v>
      </c>
      <c r="E851" s="1"/>
      <c r="F851" s="1"/>
      <c r="G851" s="1"/>
      <c r="H851" s="1"/>
      <c r="I851" s="1"/>
    </row>
    <row r="852" spans="1:9" x14ac:dyDescent="0.3">
      <c r="A852" t="s">
        <v>96</v>
      </c>
      <c r="B852" t="s">
        <v>772</v>
      </c>
      <c r="C852" s="1"/>
      <c r="D852" s="1">
        <v>6500000</v>
      </c>
      <c r="E852" s="1"/>
      <c r="F852" s="1"/>
      <c r="G852" s="1"/>
      <c r="H852" s="1"/>
      <c r="I852" s="1"/>
    </row>
    <row r="853" spans="1:9" x14ac:dyDescent="0.3">
      <c r="A853" t="s">
        <v>96</v>
      </c>
      <c r="B853" t="s">
        <v>772</v>
      </c>
      <c r="C853" s="1"/>
      <c r="D853" s="1">
        <v>4900000</v>
      </c>
      <c r="E853" s="1"/>
      <c r="F853" s="1"/>
      <c r="G853" s="1"/>
      <c r="H853" s="1"/>
      <c r="I853" s="1"/>
    </row>
    <row r="854" spans="1:9" x14ac:dyDescent="0.3">
      <c r="A854" t="s">
        <v>96</v>
      </c>
      <c r="B854" t="s">
        <v>773</v>
      </c>
      <c r="C854" s="1"/>
      <c r="D854" s="1">
        <v>10500000</v>
      </c>
      <c r="E854" s="1"/>
      <c r="F854" s="1"/>
      <c r="G854" s="1"/>
      <c r="H854" s="1"/>
      <c r="I854" s="1"/>
    </row>
    <row r="855" spans="1:9" x14ac:dyDescent="0.3">
      <c r="A855" t="s">
        <v>96</v>
      </c>
      <c r="B855" t="s">
        <v>774</v>
      </c>
      <c r="C855" s="1"/>
      <c r="D855" s="1">
        <v>7800000</v>
      </c>
      <c r="E855" s="1"/>
      <c r="F855" s="1"/>
      <c r="G855" s="1"/>
      <c r="H855" s="1"/>
      <c r="I855" s="1"/>
    </row>
    <row r="856" spans="1:9" x14ac:dyDescent="0.3">
      <c r="A856" t="s">
        <v>96</v>
      </c>
      <c r="B856" t="s">
        <v>775</v>
      </c>
      <c r="C856" s="1">
        <v>1</v>
      </c>
      <c r="D856" s="1">
        <v>6000000</v>
      </c>
      <c r="E856" s="1"/>
      <c r="F856" s="1"/>
      <c r="G856" s="1"/>
      <c r="H856" s="1"/>
      <c r="I856" s="1"/>
    </row>
    <row r="857" spans="1:9" x14ac:dyDescent="0.3">
      <c r="A857" t="s">
        <v>96</v>
      </c>
      <c r="B857" t="s">
        <v>775</v>
      </c>
      <c r="C857" s="1"/>
      <c r="D857" s="1">
        <v>7000000</v>
      </c>
      <c r="E857" s="1"/>
      <c r="F857" s="1"/>
      <c r="G857" s="1"/>
      <c r="H857" s="1"/>
      <c r="I857" s="1"/>
    </row>
    <row r="858" spans="1:9" x14ac:dyDescent="0.3">
      <c r="A858" t="s">
        <v>96</v>
      </c>
      <c r="B858" t="s">
        <v>776</v>
      </c>
      <c r="C858" s="1"/>
      <c r="D858" s="1">
        <v>2000000</v>
      </c>
      <c r="E858" s="1"/>
      <c r="F858" s="1"/>
      <c r="G858" s="1"/>
      <c r="H858" s="1"/>
      <c r="I858" s="1"/>
    </row>
    <row r="859" spans="1:9" x14ac:dyDescent="0.3">
      <c r="A859" t="s">
        <v>96</v>
      </c>
      <c r="B859" t="s">
        <v>777</v>
      </c>
      <c r="C859" s="1">
        <v>1</v>
      </c>
      <c r="D859" s="1">
        <v>2400000</v>
      </c>
      <c r="E859" s="1"/>
      <c r="F859" s="1"/>
      <c r="G859" s="1"/>
      <c r="H859" s="1"/>
      <c r="I859" s="1"/>
    </row>
    <row r="860" spans="1:9" x14ac:dyDescent="0.3">
      <c r="A860" t="s">
        <v>96</v>
      </c>
      <c r="B860" t="s">
        <v>778</v>
      </c>
      <c r="C860" s="1">
        <v>1</v>
      </c>
      <c r="D860" s="1">
        <v>2400000</v>
      </c>
      <c r="E860" s="1"/>
      <c r="F860" s="1"/>
      <c r="G860" s="1"/>
      <c r="H860" s="1"/>
      <c r="I860" s="1"/>
    </row>
    <row r="861" spans="1:9" x14ac:dyDescent="0.3">
      <c r="A861" t="s">
        <v>96</v>
      </c>
      <c r="B861" t="s">
        <v>779</v>
      </c>
      <c r="C861" s="1">
        <v>1</v>
      </c>
      <c r="D861" s="1">
        <v>5500000</v>
      </c>
      <c r="E861" s="1"/>
      <c r="F861" s="1"/>
      <c r="G861" s="1"/>
      <c r="H861" s="1"/>
      <c r="I861" s="1"/>
    </row>
    <row r="862" spans="1:9" x14ac:dyDescent="0.3">
      <c r="A862" t="s">
        <v>96</v>
      </c>
      <c r="B862" t="s">
        <v>19</v>
      </c>
      <c r="C862" s="1">
        <v>1</v>
      </c>
      <c r="D862" s="1">
        <v>2790000</v>
      </c>
      <c r="E862" s="1"/>
      <c r="F862" s="1"/>
      <c r="G862" s="1"/>
      <c r="H862" s="1"/>
      <c r="I862" s="1"/>
    </row>
    <row r="863" spans="1:9" x14ac:dyDescent="0.3">
      <c r="A863" t="s">
        <v>96</v>
      </c>
      <c r="B863" t="s">
        <v>780</v>
      </c>
      <c r="C863" s="1"/>
      <c r="D863" s="1">
        <v>3199000</v>
      </c>
      <c r="E863" s="1"/>
      <c r="F863" s="1"/>
      <c r="G863" s="1"/>
      <c r="H863" s="1"/>
      <c r="I863" s="1"/>
    </row>
    <row r="864" spans="1:9" x14ac:dyDescent="0.3">
      <c r="A864" t="s">
        <v>96</v>
      </c>
      <c r="B864" t="s">
        <v>65</v>
      </c>
      <c r="C864" s="1">
        <v>6</v>
      </c>
      <c r="D864" s="1">
        <v>13990000</v>
      </c>
      <c r="E864" s="1"/>
      <c r="F864" s="1"/>
      <c r="G864" s="1"/>
      <c r="H864" s="1"/>
      <c r="I864" s="1"/>
    </row>
    <row r="865" spans="1:9" x14ac:dyDescent="0.3">
      <c r="A865" t="s">
        <v>96</v>
      </c>
      <c r="B865" t="s">
        <v>781</v>
      </c>
      <c r="C865" s="1">
        <v>1</v>
      </c>
      <c r="D865" s="1"/>
      <c r="E865" s="1"/>
      <c r="F865" s="1"/>
      <c r="G865" s="1"/>
      <c r="H865" s="1"/>
      <c r="I865" s="1"/>
    </row>
    <row r="866" spans="1:9" x14ac:dyDescent="0.3">
      <c r="A866" t="s">
        <v>96</v>
      </c>
      <c r="B866" t="s">
        <v>782</v>
      </c>
      <c r="C866" s="1">
        <v>2</v>
      </c>
      <c r="D866" s="1">
        <v>3000000</v>
      </c>
      <c r="E866" s="1"/>
      <c r="F866" s="1"/>
      <c r="G866" s="1"/>
      <c r="H866" s="1"/>
      <c r="I866" s="1"/>
    </row>
    <row r="867" spans="1:9" x14ac:dyDescent="0.3">
      <c r="A867" t="s">
        <v>96</v>
      </c>
      <c r="B867" t="s">
        <v>82</v>
      </c>
      <c r="C867" s="1">
        <v>2</v>
      </c>
      <c r="D867" s="1">
        <v>5990000</v>
      </c>
      <c r="E867" s="1"/>
      <c r="F867" s="1"/>
      <c r="G867" s="1"/>
      <c r="H867" s="1"/>
      <c r="I867" s="1"/>
    </row>
    <row r="868" spans="1:9" x14ac:dyDescent="0.3">
      <c r="A868" t="s">
        <v>96</v>
      </c>
      <c r="B868" t="s">
        <v>783</v>
      </c>
      <c r="C868" s="1">
        <v>3</v>
      </c>
      <c r="D868" s="1">
        <v>4500000</v>
      </c>
      <c r="E868" s="1"/>
      <c r="F868" s="1"/>
      <c r="G868" s="1"/>
      <c r="H868" s="1"/>
      <c r="I868" s="1"/>
    </row>
    <row r="869" spans="1:9" x14ac:dyDescent="0.3">
      <c r="A869" t="s">
        <v>96</v>
      </c>
      <c r="B869" t="s">
        <v>199</v>
      </c>
      <c r="C869" s="1">
        <v>2</v>
      </c>
      <c r="D869" s="1">
        <v>5490000</v>
      </c>
      <c r="E869" s="1"/>
      <c r="F869" s="1"/>
      <c r="G869" s="1"/>
      <c r="H869" s="1"/>
      <c r="I869" s="1"/>
    </row>
    <row r="870" spans="1:9" x14ac:dyDescent="0.3">
      <c r="A870" t="s">
        <v>96</v>
      </c>
      <c r="B870" t="s">
        <v>784</v>
      </c>
      <c r="C870" s="1">
        <v>3</v>
      </c>
      <c r="D870" s="1">
        <v>6000000</v>
      </c>
      <c r="E870" s="1"/>
      <c r="F870" s="1"/>
      <c r="G870" s="1"/>
      <c r="H870" s="1"/>
      <c r="I870" s="1"/>
    </row>
    <row r="871" spans="1:9" x14ac:dyDescent="0.3">
      <c r="A871" t="s">
        <v>96</v>
      </c>
      <c r="B871" t="s">
        <v>785</v>
      </c>
      <c r="C871" s="1">
        <v>1</v>
      </c>
      <c r="D871" s="1">
        <v>6000000</v>
      </c>
      <c r="E871" s="1"/>
      <c r="F871" s="1"/>
      <c r="G871" s="1"/>
      <c r="H871" s="1"/>
      <c r="I871" s="1"/>
    </row>
    <row r="872" spans="1:9" x14ac:dyDescent="0.3">
      <c r="A872" t="s">
        <v>96</v>
      </c>
      <c r="B872" t="s">
        <v>786</v>
      </c>
      <c r="C872" s="1">
        <v>1</v>
      </c>
      <c r="D872" s="1">
        <v>2000000</v>
      </c>
      <c r="E872" s="1"/>
      <c r="F872" s="1"/>
      <c r="G872" s="1"/>
      <c r="H872" s="1"/>
      <c r="I872" s="1"/>
    </row>
    <row r="873" spans="1:9" x14ac:dyDescent="0.3">
      <c r="A873" t="s">
        <v>96</v>
      </c>
      <c r="B873" t="s">
        <v>787</v>
      </c>
      <c r="C873" s="1">
        <v>1</v>
      </c>
      <c r="D873" s="1">
        <v>20500000</v>
      </c>
      <c r="E873" s="1"/>
      <c r="F873" s="1"/>
      <c r="G873" s="1"/>
      <c r="H873" s="1"/>
      <c r="I873" s="1"/>
    </row>
    <row r="874" spans="1:9" x14ac:dyDescent="0.3">
      <c r="A874" t="s">
        <v>96</v>
      </c>
      <c r="B874" t="s">
        <v>788</v>
      </c>
      <c r="C874" s="1">
        <v>1</v>
      </c>
      <c r="D874" s="1">
        <v>20500000</v>
      </c>
      <c r="E874" s="1"/>
      <c r="F874" s="1"/>
      <c r="G874" s="1"/>
      <c r="H874" s="1"/>
      <c r="I874" s="1"/>
    </row>
    <row r="875" spans="1:9" x14ac:dyDescent="0.3">
      <c r="A875" t="s">
        <v>98</v>
      </c>
      <c r="B875" t="s">
        <v>789</v>
      </c>
      <c r="C875" s="1">
        <v>2</v>
      </c>
      <c r="D875" s="1">
        <v>2390000</v>
      </c>
      <c r="E875" s="1"/>
      <c r="F875" s="1"/>
      <c r="G875" s="1"/>
      <c r="H875" s="1"/>
      <c r="I875" s="1"/>
    </row>
    <row r="876" spans="1:9" x14ac:dyDescent="0.3">
      <c r="A876" t="s">
        <v>98</v>
      </c>
      <c r="B876" t="s">
        <v>790</v>
      </c>
      <c r="C876" s="1">
        <v>0</v>
      </c>
      <c r="D876" s="1">
        <v>900000</v>
      </c>
      <c r="E876" s="1"/>
      <c r="F876" s="1"/>
      <c r="G876" s="1"/>
      <c r="H876" s="1"/>
      <c r="I876" s="1"/>
    </row>
    <row r="877" spans="1:9" x14ac:dyDescent="0.3">
      <c r="A877" t="s">
        <v>142</v>
      </c>
      <c r="B877" t="s">
        <v>791</v>
      </c>
      <c r="C877" s="1">
        <v>0</v>
      </c>
      <c r="D877" s="1">
        <v>1300000</v>
      </c>
      <c r="E877" s="1"/>
      <c r="F877" s="1"/>
      <c r="G877" s="1"/>
      <c r="H877" s="1"/>
      <c r="I877" s="1"/>
    </row>
    <row r="878" spans="1:9" x14ac:dyDescent="0.3">
      <c r="A878" t="s">
        <v>142</v>
      </c>
      <c r="B878" t="s">
        <v>792</v>
      </c>
      <c r="C878" s="1">
        <v>1</v>
      </c>
      <c r="D878" s="1"/>
      <c r="E878" s="1"/>
      <c r="F878" s="1"/>
      <c r="G878" s="1"/>
      <c r="H878" s="1"/>
      <c r="I878" s="1"/>
    </row>
    <row r="879" spans="1:9" x14ac:dyDescent="0.3">
      <c r="A879" t="s">
        <v>142</v>
      </c>
      <c r="B879" t="s">
        <v>793</v>
      </c>
      <c r="C879" s="1"/>
      <c r="D879" s="1">
        <v>5000000</v>
      </c>
      <c r="E879" s="1"/>
      <c r="F879" s="1"/>
      <c r="G879" s="1"/>
      <c r="H879" s="1"/>
      <c r="I879" s="1"/>
    </row>
    <row r="880" spans="1:9" x14ac:dyDescent="0.3">
      <c r="A880" t="s">
        <v>142</v>
      </c>
      <c r="B880" t="s">
        <v>794</v>
      </c>
      <c r="C880" s="1"/>
      <c r="D880" s="1">
        <v>6000000</v>
      </c>
      <c r="E880" s="1"/>
      <c r="F880" s="1"/>
      <c r="G880" s="1"/>
      <c r="H880" s="1"/>
      <c r="I880" s="1"/>
    </row>
    <row r="881" spans="1:9" x14ac:dyDescent="0.3">
      <c r="A881" t="s">
        <v>142</v>
      </c>
      <c r="B881" t="s">
        <v>795</v>
      </c>
      <c r="C881" s="1">
        <v>1</v>
      </c>
      <c r="D881" s="1">
        <v>6000000</v>
      </c>
      <c r="E881" s="1"/>
      <c r="F881" s="1"/>
      <c r="G881" s="1"/>
      <c r="H881" s="1"/>
      <c r="I881" s="1"/>
    </row>
    <row r="882" spans="1:9" x14ac:dyDescent="0.3">
      <c r="A882" t="s">
        <v>142</v>
      </c>
      <c r="B882" t="s">
        <v>796</v>
      </c>
      <c r="C882" s="1">
        <v>1</v>
      </c>
      <c r="D882" s="1">
        <v>4000000</v>
      </c>
      <c r="E882" s="1"/>
      <c r="F882" s="1"/>
      <c r="G882" s="1"/>
      <c r="H882" s="1"/>
      <c r="I882" s="1"/>
    </row>
    <row r="883" spans="1:9" x14ac:dyDescent="0.3">
      <c r="A883" t="s">
        <v>142</v>
      </c>
      <c r="B883" t="s">
        <v>797</v>
      </c>
      <c r="C883" s="1">
        <v>1</v>
      </c>
      <c r="D883" s="1">
        <v>4990000</v>
      </c>
      <c r="E883" s="1"/>
      <c r="F883" s="1"/>
      <c r="G883" s="1"/>
      <c r="H883" s="1"/>
      <c r="I883" s="1"/>
    </row>
    <row r="884" spans="1:9" x14ac:dyDescent="0.3">
      <c r="A884" t="s">
        <v>142</v>
      </c>
      <c r="B884" t="s">
        <v>798</v>
      </c>
      <c r="C884" s="1">
        <v>1</v>
      </c>
      <c r="D884" s="1">
        <v>4400000</v>
      </c>
      <c r="E884" s="1"/>
      <c r="F884" s="1"/>
      <c r="G884" s="1"/>
      <c r="H884" s="1"/>
      <c r="I884" s="1"/>
    </row>
    <row r="885" spans="1:9" x14ac:dyDescent="0.3">
      <c r="A885" t="s">
        <v>142</v>
      </c>
      <c r="B885" t="s">
        <v>799</v>
      </c>
      <c r="C885" s="1">
        <v>1</v>
      </c>
      <c r="D885" s="1">
        <v>7400000</v>
      </c>
      <c r="E885" s="1"/>
      <c r="F885" s="1"/>
      <c r="G885" s="1"/>
      <c r="H885" s="1"/>
      <c r="I885" s="1"/>
    </row>
    <row r="886" spans="1:9" x14ac:dyDescent="0.3">
      <c r="A886" t="s">
        <v>142</v>
      </c>
      <c r="B886" t="s">
        <v>799</v>
      </c>
      <c r="C886" s="1"/>
      <c r="D886" s="1">
        <v>7000000</v>
      </c>
      <c r="E886" s="1"/>
      <c r="F886" s="1"/>
      <c r="G886" s="1"/>
      <c r="H886" s="1"/>
      <c r="I886" s="1"/>
    </row>
    <row r="887" spans="1:9" x14ac:dyDescent="0.3">
      <c r="A887" t="s">
        <v>142</v>
      </c>
      <c r="B887" t="s">
        <v>800</v>
      </c>
      <c r="C887" s="1"/>
      <c r="D887" s="1">
        <v>700000</v>
      </c>
      <c r="E887" s="1"/>
      <c r="F887" s="1"/>
      <c r="G887" s="1"/>
      <c r="H887" s="1"/>
      <c r="I887" s="1"/>
    </row>
    <row r="888" spans="1:9" x14ac:dyDescent="0.3">
      <c r="A888" t="s">
        <v>142</v>
      </c>
      <c r="B888" t="s">
        <v>49</v>
      </c>
      <c r="C888" s="1">
        <v>2</v>
      </c>
      <c r="D888" s="1">
        <v>2190000</v>
      </c>
      <c r="E888" s="1"/>
      <c r="F888" s="1"/>
      <c r="G888" s="1"/>
      <c r="H888" s="1"/>
      <c r="I888" s="1"/>
    </row>
    <row r="889" spans="1:9" x14ac:dyDescent="0.3">
      <c r="A889" t="s">
        <v>142</v>
      </c>
      <c r="B889" t="s">
        <v>801</v>
      </c>
      <c r="C889" s="1">
        <v>1</v>
      </c>
      <c r="D889" s="1"/>
      <c r="E889" s="1"/>
      <c r="F889" s="1"/>
      <c r="G889" s="1"/>
      <c r="H889" s="1"/>
      <c r="I889" s="1"/>
    </row>
    <row r="890" spans="1:9" x14ac:dyDescent="0.3">
      <c r="A890" t="s">
        <v>142</v>
      </c>
      <c r="B890" t="s">
        <v>802</v>
      </c>
      <c r="C890" s="1"/>
      <c r="D890" s="1">
        <v>2300000</v>
      </c>
      <c r="E890" s="1"/>
      <c r="F890" s="1"/>
      <c r="G890" s="1"/>
      <c r="H890" s="1"/>
      <c r="I890" s="1"/>
    </row>
    <row r="891" spans="1:9" x14ac:dyDescent="0.3">
      <c r="A891" t="s">
        <v>142</v>
      </c>
      <c r="B891" t="s">
        <v>415</v>
      </c>
      <c r="C891" s="1">
        <v>1</v>
      </c>
      <c r="D891" s="1">
        <v>3000000</v>
      </c>
      <c r="E891" s="1"/>
      <c r="F891" s="1"/>
      <c r="G891" s="1"/>
      <c r="H891" s="1"/>
      <c r="I891" s="1"/>
    </row>
    <row r="892" spans="1:9" x14ac:dyDescent="0.3">
      <c r="A892" t="s">
        <v>142</v>
      </c>
      <c r="B892" t="s">
        <v>137</v>
      </c>
      <c r="C892" s="1">
        <v>1</v>
      </c>
      <c r="D892" s="1">
        <v>4200000</v>
      </c>
      <c r="E892" s="1"/>
      <c r="F892" s="1"/>
      <c r="G892" s="1"/>
      <c r="H892" s="1"/>
      <c r="I892" s="1"/>
    </row>
    <row r="893" spans="1:9" x14ac:dyDescent="0.3">
      <c r="A893" t="s">
        <v>142</v>
      </c>
      <c r="B893" t="s">
        <v>137</v>
      </c>
      <c r="C893" s="1">
        <v>1</v>
      </c>
      <c r="D893" s="1">
        <v>4790000</v>
      </c>
      <c r="E893" s="1"/>
      <c r="F893" s="1"/>
      <c r="G893" s="1"/>
      <c r="H893" s="1"/>
      <c r="I893" s="1"/>
    </row>
    <row r="894" spans="1:9" x14ac:dyDescent="0.3">
      <c r="A894" t="s">
        <v>142</v>
      </c>
      <c r="B894" t="s">
        <v>803</v>
      </c>
      <c r="C894" s="1">
        <v>3</v>
      </c>
      <c r="D894" s="1">
        <v>4000000</v>
      </c>
      <c r="E894" s="1"/>
      <c r="F894" s="1"/>
      <c r="G894" s="1"/>
      <c r="H894" s="1"/>
      <c r="I894" s="1"/>
    </row>
    <row r="895" spans="1:9" x14ac:dyDescent="0.3">
      <c r="A895" t="s">
        <v>93</v>
      </c>
      <c r="B895" t="s">
        <v>804</v>
      </c>
      <c r="C895" s="1">
        <v>1</v>
      </c>
      <c r="D895" s="1"/>
      <c r="E895" s="1"/>
      <c r="F895" s="1"/>
      <c r="G895" s="1"/>
      <c r="H895" s="1"/>
      <c r="I895" s="1"/>
    </row>
    <row r="896" spans="1:9" x14ac:dyDescent="0.3">
      <c r="A896" t="s">
        <v>10</v>
      </c>
      <c r="B896" t="s">
        <v>805</v>
      </c>
      <c r="C896" s="1"/>
      <c r="D896" s="1"/>
      <c r="E896" s="1"/>
      <c r="F896" s="1"/>
      <c r="G896" s="1"/>
      <c r="H896" s="1"/>
      <c r="I896" s="1"/>
    </row>
    <row r="897" spans="1:9" x14ac:dyDescent="0.3">
      <c r="A897" t="s">
        <v>10</v>
      </c>
      <c r="B897" t="s">
        <v>806</v>
      </c>
      <c r="C897" s="1"/>
      <c r="D897" s="1"/>
      <c r="E897" s="1"/>
      <c r="F897" s="1"/>
      <c r="G897" s="1">
        <v>-1</v>
      </c>
      <c r="H897" s="1"/>
      <c r="I897" s="1"/>
    </row>
    <row r="898" spans="1:9" x14ac:dyDescent="0.3">
      <c r="A898" t="s">
        <v>10</v>
      </c>
      <c r="B898" t="s">
        <v>807</v>
      </c>
      <c r="C898" s="1">
        <v>4</v>
      </c>
      <c r="D898" s="1">
        <v>11600000</v>
      </c>
      <c r="E898" s="1"/>
      <c r="F898" s="1"/>
      <c r="G898" s="1"/>
      <c r="H898" s="1"/>
      <c r="I898" s="1"/>
    </row>
    <row r="899" spans="1:9" x14ac:dyDescent="0.3">
      <c r="A899" t="s">
        <v>10</v>
      </c>
      <c r="B899" t="s">
        <v>808</v>
      </c>
      <c r="C899" s="1"/>
      <c r="D899" s="1"/>
      <c r="E899" s="1"/>
      <c r="F899" s="1"/>
      <c r="G899" s="1"/>
      <c r="H899" s="1"/>
      <c r="I899" s="1"/>
    </row>
    <row r="900" spans="1:9" x14ac:dyDescent="0.3">
      <c r="A900" t="s">
        <v>10</v>
      </c>
      <c r="B900" t="s">
        <v>665</v>
      </c>
      <c r="C900" s="1"/>
      <c r="D900" s="1"/>
      <c r="E900" s="1"/>
      <c r="F900" s="1"/>
      <c r="G900" s="1"/>
      <c r="H900" s="1"/>
      <c r="I900" s="1"/>
    </row>
    <row r="901" spans="1:9" x14ac:dyDescent="0.3">
      <c r="A901" t="s">
        <v>215</v>
      </c>
      <c r="B901" t="s">
        <v>809</v>
      </c>
      <c r="C901" s="1"/>
      <c r="D901" s="1"/>
      <c r="E901" s="1"/>
      <c r="F901" s="1"/>
      <c r="G901" s="1"/>
      <c r="H901" s="1"/>
      <c r="I901" s="1"/>
    </row>
    <row r="902" spans="1:9" x14ac:dyDescent="0.3">
      <c r="A902" t="s">
        <v>125</v>
      </c>
      <c r="B902" t="s">
        <v>365</v>
      </c>
      <c r="C902" s="1">
        <v>1</v>
      </c>
      <c r="D902" s="1">
        <v>1100000</v>
      </c>
      <c r="E902" s="1"/>
      <c r="F902" s="1"/>
      <c r="G902" s="1"/>
      <c r="H902" s="1"/>
      <c r="I902" s="1"/>
    </row>
    <row r="903" spans="1:9" x14ac:dyDescent="0.3">
      <c r="A903" t="s">
        <v>121</v>
      </c>
      <c r="B903" t="s">
        <v>810</v>
      </c>
      <c r="C903" s="1">
        <v>1</v>
      </c>
      <c r="D903" s="1"/>
      <c r="E903" s="1"/>
      <c r="F903" s="1"/>
      <c r="G903" s="1"/>
      <c r="H903" s="1"/>
      <c r="I90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D3C42-ADBD-4A59-A687-8F2E3E872465}">
  <sheetPr>
    <tabColor rgb="FFFF0000"/>
  </sheetPr>
  <dimension ref="A1:O51"/>
  <sheetViews>
    <sheetView workbookViewId="0">
      <selection activeCell="E12" sqref="E12"/>
    </sheetView>
  </sheetViews>
  <sheetFormatPr defaultRowHeight="14.4" x14ac:dyDescent="0.3"/>
  <cols>
    <col min="1" max="1" width="16.33203125" bestFit="1" customWidth="1"/>
    <col min="2" max="2" width="19.109375" customWidth="1"/>
    <col min="3" max="4" width="18.109375" customWidth="1"/>
    <col min="5" max="5" width="19.6640625" style="3" customWidth="1"/>
  </cols>
  <sheetData>
    <row r="1" spans="1:13" x14ac:dyDescent="0.3">
      <c r="A1" t="s">
        <v>819</v>
      </c>
      <c r="B1" t="s">
        <v>823</v>
      </c>
      <c r="C1" t="s">
        <v>820</v>
      </c>
      <c r="D1" t="s">
        <v>821</v>
      </c>
      <c r="E1" s="3" t="s">
        <v>822</v>
      </c>
    </row>
    <row r="2" spans="1:13" x14ac:dyDescent="0.3">
      <c r="A2" t="s">
        <v>10</v>
      </c>
      <c r="B2" s="3">
        <v>11845000</v>
      </c>
      <c r="C2" s="3">
        <v>35011200000</v>
      </c>
      <c r="D2" s="3">
        <v>30184000000.000004</v>
      </c>
      <c r="E2" s="3">
        <v>34211520000</v>
      </c>
    </row>
    <row r="3" spans="1:13" x14ac:dyDescent="0.3">
      <c r="A3" t="s">
        <v>93</v>
      </c>
      <c r="B3" s="3">
        <v>8625000</v>
      </c>
      <c r="C3" s="3">
        <v>2318400000</v>
      </c>
      <c r="D3" s="3">
        <v>1344000000.0000002</v>
      </c>
      <c r="E3" s="3">
        <v>1572480000.0000002</v>
      </c>
    </row>
    <row r="4" spans="1:13" x14ac:dyDescent="0.3">
      <c r="A4" t="s">
        <v>96</v>
      </c>
      <c r="B4" s="3">
        <v>10695000</v>
      </c>
      <c r="C4" s="3">
        <v>2934400000.0000005</v>
      </c>
      <c r="D4" s="3">
        <v>2262400000</v>
      </c>
      <c r="E4" s="3">
        <v>3334400000</v>
      </c>
    </row>
    <row r="5" spans="1:13" x14ac:dyDescent="0.3">
      <c r="A5" t="s">
        <v>98</v>
      </c>
      <c r="B5" s="3">
        <v>2645000</v>
      </c>
      <c r="C5" s="3">
        <v>212800000.00000003</v>
      </c>
      <c r="D5" s="3">
        <v>224000000.00000003</v>
      </c>
      <c r="E5" s="3">
        <f>D5*0.98</f>
        <v>219520000.00000003</v>
      </c>
      <c r="I5" s="2"/>
      <c r="L5" s="1"/>
      <c r="M5" s="1"/>
    </row>
    <row r="6" spans="1:13" x14ac:dyDescent="0.3">
      <c r="A6" t="s">
        <v>121</v>
      </c>
      <c r="B6" s="3">
        <v>6439999.9999999991</v>
      </c>
      <c r="C6" s="3">
        <v>358400000.00000006</v>
      </c>
      <c r="D6" s="3">
        <v>212800000.00000003</v>
      </c>
      <c r="E6" s="3">
        <f>D6*0.98</f>
        <v>208544000.00000003</v>
      </c>
      <c r="I6" s="2"/>
      <c r="J6" s="1"/>
      <c r="K6" s="1"/>
      <c r="L6" s="1"/>
      <c r="M6" s="1"/>
    </row>
    <row r="7" spans="1:13" x14ac:dyDescent="0.3">
      <c r="A7" t="s">
        <v>125</v>
      </c>
      <c r="B7" s="3">
        <v>2990000</v>
      </c>
      <c r="C7" s="3">
        <v>145600000</v>
      </c>
      <c r="D7" s="3">
        <v>224000000.00000003</v>
      </c>
      <c r="E7" s="3">
        <f>D7*0.98</f>
        <v>219520000.00000003</v>
      </c>
      <c r="I7" s="2"/>
      <c r="K7" s="1"/>
      <c r="L7" s="1"/>
      <c r="M7" s="1"/>
    </row>
    <row r="8" spans="1:13" x14ac:dyDescent="0.3">
      <c r="A8" t="s">
        <v>142</v>
      </c>
      <c r="B8" s="3">
        <v>4830000</v>
      </c>
      <c r="C8" s="3">
        <v>392000000.00000006</v>
      </c>
      <c r="D8" s="3">
        <v>336000000.00000006</v>
      </c>
      <c r="E8" s="3">
        <f>D8*0.98</f>
        <v>329280000.00000006</v>
      </c>
      <c r="I8" s="2"/>
      <c r="J8" s="1"/>
      <c r="K8" s="1"/>
      <c r="L8" s="1"/>
      <c r="M8" s="1"/>
    </row>
    <row r="9" spans="1:13" x14ac:dyDescent="0.3">
      <c r="A9" t="s">
        <v>143</v>
      </c>
      <c r="B9" s="3">
        <v>7819999.9999999991</v>
      </c>
      <c r="C9" s="3">
        <v>246400000.00000003</v>
      </c>
      <c r="D9" s="3">
        <v>190400000.00000003</v>
      </c>
      <c r="E9" s="3">
        <v>241920000</v>
      </c>
      <c r="I9" s="2"/>
      <c r="J9" s="1"/>
      <c r="K9" s="1"/>
      <c r="L9" s="1"/>
      <c r="M9" s="1"/>
    </row>
    <row r="10" spans="1:13" x14ac:dyDescent="0.3">
      <c r="A10" t="s">
        <v>156</v>
      </c>
      <c r="B10" s="3">
        <v>7934999.9999999991</v>
      </c>
      <c r="C10" s="3">
        <v>638400000.00000012</v>
      </c>
      <c r="D10" s="3">
        <v>761600000.00000012</v>
      </c>
      <c r="E10" s="3">
        <v>766080000.00000012</v>
      </c>
      <c r="H10" s="1"/>
      <c r="I10" s="2"/>
      <c r="J10" s="1"/>
      <c r="K10" s="1"/>
      <c r="L10" s="1"/>
      <c r="M10" s="1"/>
    </row>
    <row r="11" spans="1:13" x14ac:dyDescent="0.3">
      <c r="A11" t="s">
        <v>175</v>
      </c>
      <c r="B11" s="3">
        <v>4139999.9999999995</v>
      </c>
      <c r="C11" s="3">
        <v>201600000.00000003</v>
      </c>
      <c r="D11" s="3">
        <v>212800000.00000003</v>
      </c>
      <c r="E11" s="3">
        <v>383040000.00000006</v>
      </c>
      <c r="I11" s="2"/>
      <c r="J11" s="1"/>
      <c r="K11" s="1"/>
      <c r="L11" s="1"/>
      <c r="M11" s="1"/>
    </row>
    <row r="12" spans="1:13" x14ac:dyDescent="0.3">
      <c r="A12" t="s">
        <v>201</v>
      </c>
      <c r="B12" s="3">
        <v>13224999.999999998</v>
      </c>
      <c r="C12" s="3">
        <v>56000000.000000007</v>
      </c>
      <c r="D12" s="3">
        <v>179200000.00000003</v>
      </c>
      <c r="E12" s="3">
        <v>423360000.00000006</v>
      </c>
      <c r="I12" s="2"/>
      <c r="J12" s="1"/>
      <c r="K12" s="1"/>
      <c r="L12" s="1"/>
      <c r="M12" s="1"/>
    </row>
    <row r="13" spans="1:13" x14ac:dyDescent="0.3">
      <c r="A13" t="s">
        <v>215</v>
      </c>
      <c r="B13" s="3">
        <v>1954999.9999999998</v>
      </c>
      <c r="C13" s="3">
        <v>22400000.000000004</v>
      </c>
      <c r="D13" s="3">
        <v>11200000.000000002</v>
      </c>
      <c r="E13" s="3">
        <v>40320000.000000007</v>
      </c>
      <c r="I13" s="2"/>
      <c r="J13" s="1"/>
      <c r="K13" s="1"/>
      <c r="L13" s="1"/>
      <c r="M13" s="1"/>
    </row>
    <row r="14" spans="1:13" x14ac:dyDescent="0.3">
      <c r="A14" t="s">
        <v>264</v>
      </c>
      <c r="B14" s="3">
        <v>27944999.999999996</v>
      </c>
      <c r="C14" s="3">
        <v>448000000.00000006</v>
      </c>
      <c r="D14" s="3">
        <v>190400000.00000003</v>
      </c>
      <c r="E14" s="3">
        <v>200400000</v>
      </c>
      <c r="I14" s="2"/>
      <c r="J14" s="1"/>
      <c r="K14" s="1"/>
      <c r="L14" s="1"/>
      <c r="M14" s="1"/>
    </row>
    <row r="15" spans="1:13" x14ac:dyDescent="0.3">
      <c r="A15" t="s">
        <v>469</v>
      </c>
      <c r="B15" s="3">
        <v>10000000</v>
      </c>
      <c r="C15" s="3">
        <v>11200000.000000002</v>
      </c>
      <c r="D15" s="3">
        <v>8000000</v>
      </c>
      <c r="E15" s="3">
        <v>22400000.000000004</v>
      </c>
      <c r="I15" s="2"/>
      <c r="J15" s="1"/>
      <c r="K15" s="1"/>
      <c r="L15" s="1"/>
      <c r="M15" s="1"/>
    </row>
    <row r="16" spans="1:13" x14ac:dyDescent="0.3">
      <c r="I16" s="2"/>
      <c r="J16" s="1"/>
      <c r="K16" s="1"/>
      <c r="L16" s="1"/>
      <c r="M16" s="1"/>
    </row>
    <row r="17" spans="9:14" x14ac:dyDescent="0.3">
      <c r="I17" s="2"/>
      <c r="J17" s="1"/>
      <c r="K17" s="1"/>
      <c r="L17" s="1"/>
      <c r="M17" s="1"/>
    </row>
    <row r="18" spans="9:14" x14ac:dyDescent="0.3">
      <c r="I18" s="2"/>
      <c r="J18" s="1"/>
      <c r="K18" s="1"/>
      <c r="L18" s="1"/>
      <c r="M18" s="1"/>
    </row>
    <row r="21" spans="9:14" x14ac:dyDescent="0.3">
      <c r="J21" s="2"/>
      <c r="K21" s="1"/>
      <c r="L21" s="1"/>
      <c r="M21" s="1"/>
      <c r="N21" s="1"/>
    </row>
    <row r="22" spans="9:14" x14ac:dyDescent="0.3">
      <c r="J22" s="2"/>
      <c r="K22" s="1"/>
      <c r="L22" s="1"/>
      <c r="M22" s="1"/>
      <c r="N22" s="1"/>
    </row>
    <row r="23" spans="9:14" x14ac:dyDescent="0.3">
      <c r="J23" s="2"/>
      <c r="K23" s="1"/>
      <c r="L23" s="1"/>
      <c r="M23" s="1"/>
      <c r="N23" s="1"/>
    </row>
    <row r="24" spans="9:14" x14ac:dyDescent="0.3">
      <c r="I24" s="1"/>
      <c r="J24" s="2"/>
      <c r="K24" s="1"/>
      <c r="L24" s="1"/>
      <c r="M24" s="1"/>
      <c r="N24" s="1"/>
    </row>
    <row r="25" spans="9:14" x14ac:dyDescent="0.3">
      <c r="J25" s="2"/>
      <c r="K25" s="1"/>
      <c r="L25" s="1"/>
      <c r="M25" s="1"/>
      <c r="N25" s="1"/>
    </row>
    <row r="26" spans="9:14" x14ac:dyDescent="0.3">
      <c r="J26" s="2"/>
      <c r="K26" s="1"/>
      <c r="L26" s="1"/>
      <c r="M26" s="1"/>
      <c r="N26" s="1"/>
    </row>
    <row r="27" spans="9:14" x14ac:dyDescent="0.3">
      <c r="J27" s="2"/>
      <c r="K27" s="1"/>
      <c r="L27" s="1"/>
      <c r="M27" s="1"/>
      <c r="N27" s="1"/>
    </row>
    <row r="28" spans="9:14" x14ac:dyDescent="0.3">
      <c r="J28" s="2"/>
      <c r="K28" s="1"/>
      <c r="L28" s="1"/>
      <c r="M28" s="1"/>
      <c r="N28" s="1"/>
    </row>
    <row r="29" spans="9:14" x14ac:dyDescent="0.3">
      <c r="J29" s="2"/>
      <c r="K29" s="1"/>
      <c r="L29" s="1"/>
      <c r="M29" s="1"/>
      <c r="N29" s="1"/>
    </row>
    <row r="30" spans="9:14" x14ac:dyDescent="0.3">
      <c r="J30" s="2"/>
      <c r="K30" s="1"/>
      <c r="L30" s="1"/>
      <c r="M30" s="1"/>
      <c r="N30" s="1"/>
    </row>
    <row r="31" spans="9:14" x14ac:dyDescent="0.3">
      <c r="J31" s="2"/>
      <c r="K31" s="1"/>
      <c r="M31" s="1"/>
      <c r="N31" s="1"/>
    </row>
    <row r="32" spans="9:14" x14ac:dyDescent="0.3">
      <c r="J32" s="2"/>
      <c r="K32" s="1"/>
      <c r="L32" s="1"/>
      <c r="M32" s="1"/>
      <c r="N32" s="1"/>
    </row>
    <row r="33" spans="9:15" x14ac:dyDescent="0.3">
      <c r="J33" s="2"/>
      <c r="K33" s="1"/>
      <c r="L33" s="1"/>
      <c r="M33" s="1"/>
      <c r="N33" s="1"/>
    </row>
    <row r="34" spans="9:15" x14ac:dyDescent="0.3">
      <c r="I34" s="1"/>
      <c r="K34" s="1"/>
      <c r="L34" s="1"/>
      <c r="M34" s="1"/>
      <c r="N34" s="1"/>
    </row>
    <row r="37" spans="9:15" x14ac:dyDescent="0.3">
      <c r="J37" s="2"/>
      <c r="K37" s="1"/>
      <c r="L37" s="1"/>
      <c r="M37" s="1"/>
      <c r="N37" s="1"/>
      <c r="O37" s="2"/>
    </row>
    <row r="38" spans="9:15" x14ac:dyDescent="0.3">
      <c r="J38" s="2"/>
      <c r="K38" s="1"/>
      <c r="M38" s="1"/>
      <c r="N38" s="1"/>
      <c r="O38" s="2"/>
    </row>
    <row r="39" spans="9:15" x14ac:dyDescent="0.3">
      <c r="J39" s="2"/>
      <c r="K39" s="1"/>
      <c r="L39" s="1"/>
      <c r="M39" s="1"/>
      <c r="N39" s="1"/>
      <c r="O39" s="2"/>
    </row>
    <row r="40" spans="9:15" x14ac:dyDescent="0.3">
      <c r="J40" s="2"/>
      <c r="K40" s="1"/>
      <c r="L40" s="1"/>
      <c r="M40" s="1"/>
      <c r="N40" s="1"/>
      <c r="O40" s="2"/>
    </row>
    <row r="41" spans="9:15" x14ac:dyDescent="0.3">
      <c r="I41" s="1"/>
      <c r="J41" s="2"/>
      <c r="K41" s="1"/>
      <c r="L41" s="1"/>
      <c r="M41" s="1"/>
      <c r="N41" s="1"/>
      <c r="O41" s="2"/>
    </row>
    <row r="42" spans="9:15" x14ac:dyDescent="0.3">
      <c r="J42" s="2"/>
      <c r="K42" s="1"/>
      <c r="L42" s="1"/>
      <c r="M42" s="1"/>
      <c r="N42" s="1"/>
      <c r="O42" s="2"/>
    </row>
    <row r="43" spans="9:15" x14ac:dyDescent="0.3">
      <c r="J43" s="2"/>
      <c r="K43" s="1"/>
      <c r="L43" s="1"/>
      <c r="M43" s="1"/>
      <c r="N43" s="1"/>
      <c r="O43" s="2"/>
    </row>
    <row r="44" spans="9:15" x14ac:dyDescent="0.3">
      <c r="J44" s="2"/>
      <c r="K44" s="1"/>
      <c r="L44" s="1"/>
      <c r="M44" s="1"/>
      <c r="N44" s="1"/>
      <c r="O44" s="2"/>
    </row>
    <row r="45" spans="9:15" x14ac:dyDescent="0.3">
      <c r="J45" s="2"/>
      <c r="K45" s="1"/>
      <c r="L45" s="1"/>
      <c r="M45" s="1"/>
      <c r="N45" s="1"/>
      <c r="O45" s="2"/>
    </row>
    <row r="46" spans="9:15" x14ac:dyDescent="0.3">
      <c r="J46" s="2"/>
      <c r="K46" s="1"/>
      <c r="L46" s="1"/>
      <c r="M46" s="1"/>
      <c r="N46" s="1"/>
      <c r="O46" s="2"/>
    </row>
    <row r="47" spans="9:15" x14ac:dyDescent="0.3">
      <c r="J47" s="2"/>
      <c r="K47" s="1"/>
      <c r="L47" s="1"/>
      <c r="M47" s="1"/>
      <c r="N47" s="1"/>
      <c r="O47" s="2"/>
    </row>
    <row r="48" spans="9:15" x14ac:dyDescent="0.3">
      <c r="J48" s="2"/>
      <c r="K48" s="1"/>
      <c r="M48" s="1"/>
      <c r="N48" s="1"/>
      <c r="O48" s="2"/>
    </row>
    <row r="49" spans="9:15" x14ac:dyDescent="0.3">
      <c r="J49" s="2"/>
      <c r="K49" s="1"/>
      <c r="L49" s="1"/>
      <c r="M49" s="1"/>
      <c r="N49" s="1"/>
      <c r="O49" s="2"/>
    </row>
    <row r="50" spans="9:15" x14ac:dyDescent="0.3">
      <c r="J50" s="2"/>
      <c r="K50" s="1"/>
      <c r="L50" s="1"/>
      <c r="M50" s="1"/>
      <c r="N50" s="1"/>
      <c r="O50" s="2"/>
    </row>
    <row r="51" spans="9:15" x14ac:dyDescent="0.3">
      <c r="I51" s="1"/>
      <c r="K51" s="1"/>
      <c r="L51" s="1"/>
      <c r="M51" s="1"/>
      <c r="N5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4E7F-F7BE-4A4A-A502-EF904E36E8C8}">
  <dimension ref="A1:K20"/>
  <sheetViews>
    <sheetView showGridLines="0" workbookViewId="0">
      <selection activeCell="A13" sqref="A13:K13"/>
    </sheetView>
  </sheetViews>
  <sheetFormatPr defaultRowHeight="14.4" x14ac:dyDescent="0.3"/>
  <sheetData>
    <row r="1" spans="1:11" ht="25.8" x14ac:dyDescent="0.5">
      <c r="A1" s="12" t="s">
        <v>838</v>
      </c>
    </row>
    <row r="3" spans="1:11" x14ac:dyDescent="0.3">
      <c r="A3" s="5" t="s">
        <v>824</v>
      </c>
    </row>
    <row r="4" spans="1:11" x14ac:dyDescent="0.3">
      <c r="A4" s="8" t="s">
        <v>825</v>
      </c>
      <c r="H4" s="4"/>
    </row>
    <row r="5" spans="1:11" x14ac:dyDescent="0.3">
      <c r="A5" t="s">
        <v>827</v>
      </c>
      <c r="B5" t="s">
        <v>832</v>
      </c>
    </row>
    <row r="6" spans="1:11" x14ac:dyDescent="0.3">
      <c r="B6" t="s">
        <v>826</v>
      </c>
    </row>
    <row r="7" spans="1:11" x14ac:dyDescent="0.3">
      <c r="B7" s="6" t="s">
        <v>830</v>
      </c>
    </row>
    <row r="8" spans="1:11" x14ac:dyDescent="0.3">
      <c r="B8" s="6" t="s">
        <v>833</v>
      </c>
      <c r="F8" s="4"/>
      <c r="I8" s="4"/>
    </row>
    <row r="9" spans="1:11" x14ac:dyDescent="0.3">
      <c r="B9" s="13" t="s">
        <v>839</v>
      </c>
      <c r="F9" s="4"/>
      <c r="I9" s="4"/>
    </row>
    <row r="10" spans="1:11" x14ac:dyDescent="0.3">
      <c r="B10" s="7" t="s">
        <v>834</v>
      </c>
    </row>
    <row r="12" spans="1:11" x14ac:dyDescent="0.3">
      <c r="A12" s="5" t="s">
        <v>828</v>
      </c>
    </row>
    <row r="13" spans="1:11" ht="41.25" customHeight="1" x14ac:dyDescent="0.3">
      <c r="A13" s="44" t="s">
        <v>840</v>
      </c>
      <c r="B13" s="44"/>
      <c r="C13" s="44"/>
      <c r="D13" s="44"/>
      <c r="E13" s="44"/>
      <c r="F13" s="44"/>
      <c r="G13" s="44"/>
      <c r="H13" s="44"/>
      <c r="I13" s="44"/>
      <c r="J13" s="44"/>
      <c r="K13" s="44"/>
    </row>
    <row r="14" spans="1:11" x14ac:dyDescent="0.3">
      <c r="A14" t="s">
        <v>827</v>
      </c>
      <c r="B14" t="s">
        <v>831</v>
      </c>
    </row>
    <row r="15" spans="1:11" x14ac:dyDescent="0.3">
      <c r="B15" t="s">
        <v>829</v>
      </c>
    </row>
    <row r="16" spans="1:11" x14ac:dyDescent="0.3">
      <c r="B16" t="s">
        <v>837</v>
      </c>
    </row>
    <row r="17" spans="1:2" x14ac:dyDescent="0.3">
      <c r="B17" s="11" t="s">
        <v>835</v>
      </c>
    </row>
    <row r="18" spans="1:2" x14ac:dyDescent="0.3">
      <c r="B18" t="s">
        <v>836</v>
      </c>
    </row>
    <row r="19" spans="1:2" s="10" customFormat="1" x14ac:dyDescent="0.3"/>
    <row r="20" spans="1:2" x14ac:dyDescent="0.3">
      <c r="A20" s="9"/>
    </row>
  </sheetData>
  <mergeCells count="1">
    <mergeCell ref="A13:K13"/>
  </mergeCells>
  <hyperlinks>
    <hyperlink ref="B9" r:id="rId1" xr:uid="{AF8AF7D8-6CF5-4AD5-AA1D-37685744676B}"/>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7605-9EAD-40E7-9688-8DB143598535}">
  <dimension ref="A1:D43"/>
  <sheetViews>
    <sheetView workbookViewId="0">
      <selection activeCell="F20" sqref="F20"/>
    </sheetView>
  </sheetViews>
  <sheetFormatPr defaultRowHeight="14.4" x14ac:dyDescent="0.3"/>
  <cols>
    <col min="1" max="1" width="6" bestFit="1" customWidth="1"/>
    <col min="2" max="2" width="15.6640625" bestFit="1" customWidth="1"/>
    <col min="3" max="3" width="8.44140625" bestFit="1" customWidth="1"/>
    <col min="4" max="4" width="12" bestFit="1" customWidth="1"/>
    <col min="5" max="7" width="15.44140625" bestFit="1" customWidth="1"/>
    <col min="8" max="10" width="12" bestFit="1" customWidth="1"/>
  </cols>
  <sheetData>
    <row r="1" spans="1:4" x14ac:dyDescent="0.3">
      <c r="A1" t="s">
        <v>1259</v>
      </c>
      <c r="B1" t="s">
        <v>1260</v>
      </c>
      <c r="C1" t="s">
        <v>1265</v>
      </c>
      <c r="D1" t="s">
        <v>1266</v>
      </c>
    </row>
    <row r="2" spans="1:4" x14ac:dyDescent="0.3">
      <c r="A2" s="14" t="s">
        <v>1261</v>
      </c>
      <c r="B2" s="14" t="s">
        <v>125</v>
      </c>
      <c r="C2" s="14" t="s">
        <v>1267</v>
      </c>
      <c r="D2">
        <v>118264963</v>
      </c>
    </row>
    <row r="3" spans="1:4" x14ac:dyDescent="0.3">
      <c r="A3" s="14" t="s">
        <v>1263</v>
      </c>
      <c r="B3" s="14" t="s">
        <v>10</v>
      </c>
      <c r="C3" s="14" t="s">
        <v>1267</v>
      </c>
      <c r="D3">
        <v>35383071284</v>
      </c>
    </row>
    <row r="4" spans="1:4" x14ac:dyDescent="0.3">
      <c r="A4" s="14" t="s">
        <v>1263</v>
      </c>
      <c r="B4" s="14" t="s">
        <v>93</v>
      </c>
      <c r="C4" s="14" t="s">
        <v>1267</v>
      </c>
      <c r="D4">
        <v>2104314504</v>
      </c>
    </row>
    <row r="5" spans="1:4" x14ac:dyDescent="0.3">
      <c r="A5" s="14" t="s">
        <v>1264</v>
      </c>
      <c r="B5" s="14" t="s">
        <v>96</v>
      </c>
      <c r="C5" s="14" t="s">
        <v>1267</v>
      </c>
      <c r="D5">
        <v>3049235318</v>
      </c>
    </row>
    <row r="6" spans="1:4" x14ac:dyDescent="0.3">
      <c r="A6" s="14" t="s">
        <v>1263</v>
      </c>
      <c r="B6" s="14" t="s">
        <v>156</v>
      </c>
      <c r="C6" s="14" t="s">
        <v>1267</v>
      </c>
      <c r="D6">
        <v>717954926</v>
      </c>
    </row>
    <row r="7" spans="1:4" x14ac:dyDescent="0.3">
      <c r="A7" s="14" t="s">
        <v>1262</v>
      </c>
      <c r="B7" s="14" t="s">
        <v>215</v>
      </c>
      <c r="C7" s="14" t="s">
        <v>1267</v>
      </c>
      <c r="D7">
        <v>26574489</v>
      </c>
    </row>
    <row r="8" spans="1:4" x14ac:dyDescent="0.3">
      <c r="A8" s="14" t="s">
        <v>1262</v>
      </c>
      <c r="B8" s="14" t="s">
        <v>469</v>
      </c>
      <c r="C8" s="14" t="s">
        <v>1267</v>
      </c>
      <c r="D8">
        <v>12463662</v>
      </c>
    </row>
    <row r="9" spans="1:4" x14ac:dyDescent="0.3">
      <c r="A9" s="14" t="s">
        <v>1264</v>
      </c>
      <c r="B9" s="14" t="s">
        <v>98</v>
      </c>
      <c r="C9" s="14" t="s">
        <v>1267</v>
      </c>
      <c r="D9">
        <v>158444158</v>
      </c>
    </row>
    <row r="10" spans="1:4" x14ac:dyDescent="0.3">
      <c r="A10" s="14" t="s">
        <v>1262</v>
      </c>
      <c r="B10" s="14" t="s">
        <v>201</v>
      </c>
      <c r="C10" s="14" t="s">
        <v>1267</v>
      </c>
      <c r="D10">
        <v>56085343</v>
      </c>
    </row>
    <row r="11" spans="1:4" x14ac:dyDescent="0.3">
      <c r="A11" s="14" t="s">
        <v>1262</v>
      </c>
      <c r="B11" s="14" t="s">
        <v>143</v>
      </c>
      <c r="C11" s="14" t="s">
        <v>1267</v>
      </c>
      <c r="D11">
        <v>275603191</v>
      </c>
    </row>
    <row r="12" spans="1:4" x14ac:dyDescent="0.3">
      <c r="A12" s="14" t="s">
        <v>1263</v>
      </c>
      <c r="B12" s="14" t="s">
        <v>264</v>
      </c>
      <c r="C12" s="14" t="s">
        <v>1267</v>
      </c>
      <c r="D12">
        <v>446880582</v>
      </c>
    </row>
    <row r="13" spans="1:4" x14ac:dyDescent="0.3">
      <c r="A13" s="14" t="s">
        <v>1261</v>
      </c>
      <c r="B13" s="14" t="s">
        <v>175</v>
      </c>
      <c r="C13" s="14" t="s">
        <v>1267</v>
      </c>
      <c r="D13">
        <v>201831071</v>
      </c>
    </row>
    <row r="14" spans="1:4" x14ac:dyDescent="0.3">
      <c r="A14" s="14" t="s">
        <v>1264</v>
      </c>
      <c r="B14" s="14" t="s">
        <v>142</v>
      </c>
      <c r="C14" s="14" t="s">
        <v>1267</v>
      </c>
      <c r="D14">
        <v>337970108</v>
      </c>
    </row>
    <row r="15" spans="1:4" x14ac:dyDescent="0.3">
      <c r="A15" s="14" t="s">
        <v>1261</v>
      </c>
      <c r="B15" s="14" t="s">
        <v>121</v>
      </c>
      <c r="C15" s="14" t="s">
        <v>1267</v>
      </c>
      <c r="D15">
        <v>305320628</v>
      </c>
    </row>
    <row r="16" spans="1:4" x14ac:dyDescent="0.3">
      <c r="A16" s="14" t="s">
        <v>1263</v>
      </c>
      <c r="B16" s="14" t="s">
        <v>10</v>
      </c>
      <c r="C16" s="14" t="s">
        <v>1268</v>
      </c>
      <c r="D16">
        <v>37204978580</v>
      </c>
    </row>
    <row r="17" spans="1:4" x14ac:dyDescent="0.3">
      <c r="A17" s="14" t="s">
        <v>1261</v>
      </c>
      <c r="B17" s="14" t="s">
        <v>125</v>
      </c>
      <c r="C17" s="14" t="s">
        <v>1268</v>
      </c>
      <c r="D17">
        <v>140254989</v>
      </c>
    </row>
    <row r="18" spans="1:4" x14ac:dyDescent="0.3">
      <c r="A18" s="14" t="s">
        <v>1263</v>
      </c>
      <c r="B18" s="14" t="s">
        <v>93</v>
      </c>
      <c r="C18" s="14" t="s">
        <v>1268</v>
      </c>
      <c r="D18">
        <v>1905156062</v>
      </c>
    </row>
    <row r="19" spans="1:4" x14ac:dyDescent="0.3">
      <c r="A19" s="14" t="s">
        <v>1263</v>
      </c>
      <c r="B19" s="14" t="s">
        <v>156</v>
      </c>
      <c r="C19" s="14" t="s">
        <v>1268</v>
      </c>
      <c r="D19">
        <v>486803656</v>
      </c>
    </row>
    <row r="20" spans="1:4" x14ac:dyDescent="0.3">
      <c r="A20" s="14" t="s">
        <v>1261</v>
      </c>
      <c r="B20" s="14" t="s">
        <v>121</v>
      </c>
      <c r="C20" s="14" t="s">
        <v>1268</v>
      </c>
      <c r="D20">
        <v>292415890</v>
      </c>
    </row>
    <row r="21" spans="1:4" x14ac:dyDescent="0.3">
      <c r="A21" s="14" t="s">
        <v>1264</v>
      </c>
      <c r="B21" s="14" t="s">
        <v>98</v>
      </c>
      <c r="C21" s="14" t="s">
        <v>1268</v>
      </c>
      <c r="D21">
        <v>202765122</v>
      </c>
    </row>
    <row r="22" spans="1:4" x14ac:dyDescent="0.3">
      <c r="A22" s="14" t="s">
        <v>1264</v>
      </c>
      <c r="B22" s="14" t="s">
        <v>142</v>
      </c>
      <c r="C22" s="14" t="s">
        <v>1268</v>
      </c>
      <c r="D22">
        <v>507262134</v>
      </c>
    </row>
    <row r="23" spans="1:4" x14ac:dyDescent="0.3">
      <c r="A23" s="14" t="s">
        <v>1264</v>
      </c>
      <c r="B23" s="14" t="s">
        <v>96</v>
      </c>
      <c r="C23" s="14" t="s">
        <v>1268</v>
      </c>
      <c r="D23">
        <v>3129972401</v>
      </c>
    </row>
    <row r="24" spans="1:4" x14ac:dyDescent="0.3">
      <c r="A24" s="14" t="s">
        <v>1262</v>
      </c>
      <c r="B24" s="14" t="s">
        <v>143</v>
      </c>
      <c r="C24" s="14" t="s">
        <v>1268</v>
      </c>
      <c r="D24">
        <v>213285982</v>
      </c>
    </row>
    <row r="25" spans="1:4" x14ac:dyDescent="0.3">
      <c r="A25" s="14" t="s">
        <v>1263</v>
      </c>
      <c r="B25" s="14" t="s">
        <v>264</v>
      </c>
      <c r="C25" s="14" t="s">
        <v>1268</v>
      </c>
      <c r="D25">
        <v>404372436</v>
      </c>
    </row>
    <row r="26" spans="1:4" x14ac:dyDescent="0.3">
      <c r="A26" s="14" t="s">
        <v>1262</v>
      </c>
      <c r="B26" s="14" t="s">
        <v>469</v>
      </c>
      <c r="C26" s="14" t="s">
        <v>1268</v>
      </c>
      <c r="D26">
        <v>10100555</v>
      </c>
    </row>
    <row r="27" spans="1:4" x14ac:dyDescent="0.3">
      <c r="A27" s="14" t="s">
        <v>1261</v>
      </c>
      <c r="B27" s="14" t="s">
        <v>175</v>
      </c>
      <c r="C27" s="14" t="s">
        <v>1268</v>
      </c>
      <c r="D27">
        <v>216233425</v>
      </c>
    </row>
    <row r="28" spans="1:4" x14ac:dyDescent="0.3">
      <c r="A28" s="14" t="s">
        <v>1262</v>
      </c>
      <c r="B28" s="14" t="s">
        <v>215</v>
      </c>
      <c r="C28" s="14" t="s">
        <v>1268</v>
      </c>
      <c r="D28">
        <v>24491815</v>
      </c>
    </row>
    <row r="29" spans="1:4" x14ac:dyDescent="0.3">
      <c r="A29" s="14" t="s">
        <v>1262</v>
      </c>
      <c r="B29" s="14" t="s">
        <v>201</v>
      </c>
      <c r="C29" s="14" t="s">
        <v>1268</v>
      </c>
      <c r="D29">
        <v>54013420</v>
      </c>
    </row>
    <row r="30" spans="1:4" x14ac:dyDescent="0.3">
      <c r="A30" s="14" t="s">
        <v>1264</v>
      </c>
      <c r="B30" s="14" t="s">
        <v>98</v>
      </c>
      <c r="C30" s="14" t="s">
        <v>1269</v>
      </c>
      <c r="D30">
        <v>212268179</v>
      </c>
    </row>
    <row r="31" spans="1:4" x14ac:dyDescent="0.3">
      <c r="A31" s="14" t="s">
        <v>1264</v>
      </c>
      <c r="B31" s="14" t="s">
        <v>96</v>
      </c>
      <c r="C31" s="14" t="s">
        <v>1269</v>
      </c>
      <c r="D31">
        <v>3643332212</v>
      </c>
    </row>
    <row r="32" spans="1:4" x14ac:dyDescent="0.3">
      <c r="A32" s="14" t="s">
        <v>1263</v>
      </c>
      <c r="B32" s="14" t="s">
        <v>264</v>
      </c>
      <c r="C32" s="14" t="s">
        <v>1269</v>
      </c>
      <c r="D32">
        <v>453181769</v>
      </c>
    </row>
    <row r="33" spans="1:4" x14ac:dyDescent="0.3">
      <c r="A33" s="14" t="s">
        <v>1262</v>
      </c>
      <c r="B33" s="14" t="s">
        <v>215</v>
      </c>
      <c r="C33" s="14" t="s">
        <v>1269</v>
      </c>
      <c r="D33">
        <v>21775228</v>
      </c>
    </row>
    <row r="34" spans="1:4" x14ac:dyDescent="0.3">
      <c r="A34" s="14" t="s">
        <v>1263</v>
      </c>
      <c r="B34" s="14" t="s">
        <v>93</v>
      </c>
      <c r="C34" s="14" t="s">
        <v>1269</v>
      </c>
      <c r="D34">
        <v>2567100223</v>
      </c>
    </row>
    <row r="35" spans="1:4" x14ac:dyDescent="0.3">
      <c r="A35" s="14" t="s">
        <v>1263</v>
      </c>
      <c r="B35" s="14" t="s">
        <v>156</v>
      </c>
      <c r="C35" s="14" t="s">
        <v>1269</v>
      </c>
      <c r="D35">
        <v>572795786</v>
      </c>
    </row>
    <row r="36" spans="1:4" x14ac:dyDescent="0.3">
      <c r="A36" s="14" t="s">
        <v>1262</v>
      </c>
      <c r="B36" s="14" t="s">
        <v>143</v>
      </c>
      <c r="C36" s="14" t="s">
        <v>1269</v>
      </c>
      <c r="D36">
        <v>237550195</v>
      </c>
    </row>
    <row r="37" spans="1:4" x14ac:dyDescent="0.3">
      <c r="A37" s="14" t="s">
        <v>1262</v>
      </c>
      <c r="B37" s="14" t="s">
        <v>469</v>
      </c>
      <c r="C37" s="14" t="s">
        <v>1269</v>
      </c>
      <c r="D37">
        <v>12260144</v>
      </c>
    </row>
    <row r="38" spans="1:4" x14ac:dyDescent="0.3">
      <c r="A38" s="14" t="s">
        <v>1262</v>
      </c>
      <c r="B38" s="14" t="s">
        <v>201</v>
      </c>
      <c r="C38" s="14" t="s">
        <v>1269</v>
      </c>
      <c r="D38">
        <v>53112576</v>
      </c>
    </row>
    <row r="39" spans="1:4" x14ac:dyDescent="0.3">
      <c r="A39" s="14" t="s">
        <v>1261</v>
      </c>
      <c r="B39" s="14" t="s">
        <v>175</v>
      </c>
      <c r="C39" s="14" t="s">
        <v>1269</v>
      </c>
      <c r="D39">
        <v>217767854</v>
      </c>
    </row>
    <row r="40" spans="1:4" x14ac:dyDescent="0.3">
      <c r="A40" s="14" t="s">
        <v>1261</v>
      </c>
      <c r="B40" s="14" t="s">
        <v>121</v>
      </c>
      <c r="C40" s="14" t="s">
        <v>1269</v>
      </c>
      <c r="D40">
        <v>339789626</v>
      </c>
    </row>
    <row r="41" spans="1:4" x14ac:dyDescent="0.3">
      <c r="A41" s="14" t="s">
        <v>1261</v>
      </c>
      <c r="B41" s="14" t="s">
        <v>125</v>
      </c>
      <c r="C41" s="14" t="s">
        <v>1269</v>
      </c>
      <c r="D41">
        <v>174669087</v>
      </c>
    </row>
    <row r="42" spans="1:4" x14ac:dyDescent="0.3">
      <c r="A42" s="14" t="s">
        <v>1263</v>
      </c>
      <c r="B42" s="14" t="s">
        <v>10</v>
      </c>
      <c r="C42" s="14" t="s">
        <v>1269</v>
      </c>
      <c r="D42">
        <v>33417795452</v>
      </c>
    </row>
    <row r="43" spans="1:4" x14ac:dyDescent="0.3">
      <c r="A43" s="14" t="s">
        <v>1264</v>
      </c>
      <c r="B43" s="14" t="s">
        <v>142</v>
      </c>
      <c r="C43" s="14" t="s">
        <v>1269</v>
      </c>
      <c r="D43">
        <v>435524925</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CBAA5-E3C8-4EBE-90CA-7957A38D2ACA}">
  <dimension ref="A1:B15"/>
  <sheetViews>
    <sheetView workbookViewId="0">
      <selection activeCell="M28" sqref="M28"/>
    </sheetView>
  </sheetViews>
  <sheetFormatPr defaultRowHeight="14.4" x14ac:dyDescent="0.3"/>
  <cols>
    <col min="1" max="1" width="10.44140625" customWidth="1"/>
    <col min="2" max="2" width="15.6640625" bestFit="1" customWidth="1"/>
  </cols>
  <sheetData>
    <row r="1" spans="1:2" x14ac:dyDescent="0.3">
      <c r="A1" t="s">
        <v>1259</v>
      </c>
      <c r="B1" t="s">
        <v>1260</v>
      </c>
    </row>
    <row r="2" spans="1:2" x14ac:dyDescent="0.3">
      <c r="A2" t="s">
        <v>1261</v>
      </c>
      <c r="B2" t="s">
        <v>125</v>
      </c>
    </row>
    <row r="3" spans="1:2" x14ac:dyDescent="0.3">
      <c r="A3" t="s">
        <v>1261</v>
      </c>
      <c r="B3" t="s">
        <v>175</v>
      </c>
    </row>
    <row r="4" spans="1:2" x14ac:dyDescent="0.3">
      <c r="A4" t="s">
        <v>1261</v>
      </c>
      <c r="B4" t="s">
        <v>121</v>
      </c>
    </row>
    <row r="5" spans="1:2" x14ac:dyDescent="0.3">
      <c r="A5" t="s">
        <v>1262</v>
      </c>
      <c r="B5" t="s">
        <v>215</v>
      </c>
    </row>
    <row r="6" spans="1:2" x14ac:dyDescent="0.3">
      <c r="A6" t="s">
        <v>1262</v>
      </c>
      <c r="B6" t="s">
        <v>469</v>
      </c>
    </row>
    <row r="7" spans="1:2" x14ac:dyDescent="0.3">
      <c r="A7" t="s">
        <v>1262</v>
      </c>
      <c r="B7" t="s">
        <v>201</v>
      </c>
    </row>
    <row r="8" spans="1:2" x14ac:dyDescent="0.3">
      <c r="A8" t="s">
        <v>1262</v>
      </c>
      <c r="B8" t="s">
        <v>143</v>
      </c>
    </row>
    <row r="9" spans="1:2" x14ac:dyDescent="0.3">
      <c r="A9" t="s">
        <v>1263</v>
      </c>
      <c r="B9" t="s">
        <v>10</v>
      </c>
    </row>
    <row r="10" spans="1:2" x14ac:dyDescent="0.3">
      <c r="A10" t="s">
        <v>1263</v>
      </c>
      <c r="B10" t="s">
        <v>93</v>
      </c>
    </row>
    <row r="11" spans="1:2" x14ac:dyDescent="0.3">
      <c r="A11" t="s">
        <v>1263</v>
      </c>
      <c r="B11" t="s">
        <v>156</v>
      </c>
    </row>
    <row r="12" spans="1:2" x14ac:dyDescent="0.3">
      <c r="A12" t="s">
        <v>1263</v>
      </c>
      <c r="B12" t="s">
        <v>264</v>
      </c>
    </row>
    <row r="13" spans="1:2" x14ac:dyDescent="0.3">
      <c r="A13" t="s">
        <v>1264</v>
      </c>
      <c r="B13" t="s">
        <v>96</v>
      </c>
    </row>
    <row r="14" spans="1:2" x14ac:dyDescent="0.3">
      <c r="A14" t="s">
        <v>1264</v>
      </c>
      <c r="B14" t="s">
        <v>98</v>
      </c>
    </row>
    <row r="15" spans="1:2" x14ac:dyDescent="0.3">
      <c r="A15" t="s">
        <v>1264</v>
      </c>
      <c r="B15" t="s">
        <v>142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EA85-1B26-42D2-A379-5EAA91493419}">
  <dimension ref="A1:B4"/>
  <sheetViews>
    <sheetView workbookViewId="0">
      <selection activeCell="E8" sqref="E8"/>
    </sheetView>
  </sheetViews>
  <sheetFormatPr defaultRowHeight="14.4" x14ac:dyDescent="0.3"/>
  <sheetData>
    <row r="1" spans="1:2" x14ac:dyDescent="0.3">
      <c r="A1" t="s">
        <v>1265</v>
      </c>
      <c r="B1" t="s">
        <v>1270</v>
      </c>
    </row>
    <row r="2" spans="1:2" x14ac:dyDescent="0.3">
      <c r="A2" t="s">
        <v>1267</v>
      </c>
      <c r="B2" t="s">
        <v>1273</v>
      </c>
    </row>
    <row r="3" spans="1:2" x14ac:dyDescent="0.3">
      <c r="A3" t="s">
        <v>1268</v>
      </c>
      <c r="B3" t="s">
        <v>1273</v>
      </c>
    </row>
    <row r="4" spans="1:2" x14ac:dyDescent="0.3">
      <c r="A4" t="s">
        <v>1269</v>
      </c>
      <c r="B4" t="s">
        <v>1273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EB45D-FEC3-48DB-8CC3-635F3DBA3DFB}">
  <dimension ref="A1:L80"/>
  <sheetViews>
    <sheetView topLeftCell="A69" zoomScale="80" zoomScaleNormal="80" workbookViewId="0">
      <selection activeCell="H24" sqref="H24"/>
    </sheetView>
  </sheetViews>
  <sheetFormatPr defaultRowHeight="14.4" x14ac:dyDescent="0.3"/>
  <cols>
    <col min="2" max="2" width="19.6640625" bestFit="1" customWidth="1"/>
    <col min="3" max="3" width="16.44140625" bestFit="1" customWidth="1"/>
    <col min="4" max="4" width="16.109375" bestFit="1" customWidth="1"/>
    <col min="5" max="5" width="12.109375" bestFit="1" customWidth="1"/>
    <col min="6" max="6" width="10.88671875" bestFit="1" customWidth="1"/>
    <col min="7" max="7" width="14.109375" bestFit="1" customWidth="1"/>
    <col min="8" max="8" width="15.109375" bestFit="1" customWidth="1"/>
    <col min="9" max="9" width="11.21875" bestFit="1" customWidth="1"/>
    <col min="10" max="10" width="38.21875" bestFit="1" customWidth="1"/>
    <col min="11" max="11" width="16.109375" bestFit="1" customWidth="1"/>
    <col min="12" max="12" width="12.109375" bestFit="1" customWidth="1"/>
    <col min="13" max="13" width="12.44140625" bestFit="1" customWidth="1"/>
    <col min="14" max="14" width="14.109375" bestFit="1" customWidth="1"/>
    <col min="15" max="16" width="15.88671875" bestFit="1" customWidth="1"/>
    <col min="17" max="17" width="16.109375" bestFit="1" customWidth="1"/>
    <col min="18" max="18" width="12.44140625" bestFit="1" customWidth="1"/>
    <col min="19" max="19" width="11.44140625" bestFit="1" customWidth="1"/>
    <col min="20" max="20" width="12.44140625" bestFit="1" customWidth="1"/>
    <col min="21" max="21" width="14.109375" bestFit="1" customWidth="1"/>
    <col min="22" max="22" width="16.109375" bestFit="1" customWidth="1"/>
    <col min="23" max="23" width="11.44140625" bestFit="1" customWidth="1"/>
    <col min="24" max="24" width="14.109375" bestFit="1" customWidth="1"/>
    <col min="25" max="27" width="12.44140625" bestFit="1" customWidth="1"/>
    <col min="28" max="28" width="14.109375" bestFit="1" customWidth="1"/>
    <col min="29" max="29" width="12.44140625" bestFit="1" customWidth="1"/>
    <col min="30" max="30" width="14.109375" bestFit="1" customWidth="1"/>
    <col min="31" max="31" width="16.109375" bestFit="1" customWidth="1"/>
    <col min="32" max="32" width="8.44140625" bestFit="1" customWidth="1"/>
    <col min="33" max="33" width="10.21875" bestFit="1" customWidth="1"/>
    <col min="34" max="34" width="11" bestFit="1" customWidth="1"/>
    <col min="35" max="35" width="8" bestFit="1" customWidth="1"/>
    <col min="36" max="36" width="10.44140625" bestFit="1" customWidth="1"/>
    <col min="37" max="37" width="8.5546875" bestFit="1" customWidth="1"/>
    <col min="38" max="38" width="12.88671875" bestFit="1" customWidth="1"/>
    <col min="39" max="39" width="9.44140625" bestFit="1" customWidth="1"/>
    <col min="40" max="40" width="8.77734375" bestFit="1" customWidth="1"/>
    <col min="41" max="41" width="10.88671875" bestFit="1" customWidth="1"/>
    <col min="42" max="42" width="12.77734375" bestFit="1" customWidth="1"/>
    <col min="43" max="43" width="11.21875" bestFit="1" customWidth="1"/>
    <col min="44" max="44" width="10.44140625" bestFit="1" customWidth="1"/>
    <col min="45" max="45" width="18.88671875" bestFit="1" customWidth="1"/>
    <col min="46" max="46" width="16.109375" bestFit="1" customWidth="1"/>
    <col min="47" max="47" width="16.44140625" bestFit="1" customWidth="1"/>
  </cols>
  <sheetData>
    <row r="1" spans="1:12" x14ac:dyDescent="0.3">
      <c r="A1" s="45" t="s">
        <v>1286</v>
      </c>
      <c r="B1" s="47"/>
    </row>
    <row r="2" spans="1:12" x14ac:dyDescent="0.3">
      <c r="A2" s="47"/>
      <c r="B2" s="47"/>
    </row>
    <row r="4" spans="1:12" x14ac:dyDescent="0.3">
      <c r="B4" s="48" t="s">
        <v>1284</v>
      </c>
      <c r="C4" s="48"/>
      <c r="D4" s="48"/>
      <c r="E4" s="48"/>
      <c r="F4" s="48"/>
    </row>
    <row r="5" spans="1:12" x14ac:dyDescent="0.3">
      <c r="B5" s="15" t="s">
        <v>1265</v>
      </c>
      <c r="C5" t="s" vm="1">
        <v>1277</v>
      </c>
      <c r="J5" s="5" t="s">
        <v>1283</v>
      </c>
    </row>
    <row r="7" spans="1:12" x14ac:dyDescent="0.3">
      <c r="B7" s="15" t="s">
        <v>1271</v>
      </c>
      <c r="C7" s="21" t="s">
        <v>1274</v>
      </c>
      <c r="D7" s="21" t="s">
        <v>1275</v>
      </c>
      <c r="E7" s="22" t="s">
        <v>1276</v>
      </c>
      <c r="F7" s="20" t="s">
        <v>1278</v>
      </c>
      <c r="I7" s="15" t="s">
        <v>1271</v>
      </c>
      <c r="J7" s="19" t="s">
        <v>1274</v>
      </c>
      <c r="K7" s="19" t="s">
        <v>1275</v>
      </c>
      <c r="L7" s="2" t="s">
        <v>1276</v>
      </c>
    </row>
    <row r="8" spans="1:12" x14ac:dyDescent="0.3">
      <c r="B8" s="16" t="s">
        <v>1261</v>
      </c>
      <c r="C8" s="21">
        <v>2166304000.0000005</v>
      </c>
      <c r="D8" s="21">
        <v>2006547533</v>
      </c>
      <c r="E8" s="22">
        <v>1.0796175841202962</v>
      </c>
      <c r="F8" s="23" t="s">
        <v>1281</v>
      </c>
      <c r="I8" s="16" t="s">
        <v>1267</v>
      </c>
      <c r="J8" s="19">
        <v>42172784000</v>
      </c>
      <c r="K8" s="19">
        <v>43194014227</v>
      </c>
      <c r="L8" s="2">
        <v>0.97635713546712588</v>
      </c>
    </row>
    <row r="9" spans="1:12" x14ac:dyDescent="0.3">
      <c r="B9" s="17" t="s">
        <v>125</v>
      </c>
      <c r="C9" s="21">
        <v>589120000</v>
      </c>
      <c r="D9" s="21">
        <v>433189039</v>
      </c>
      <c r="E9" s="22">
        <v>1.3599605413838738</v>
      </c>
      <c r="F9" s="23" t="s">
        <v>1279</v>
      </c>
      <c r="I9" s="16" t="s">
        <v>1268</v>
      </c>
      <c r="J9" s="19">
        <v>36340800000.000008</v>
      </c>
      <c r="K9" s="19">
        <v>44792106467</v>
      </c>
      <c r="L9" s="2">
        <v>0.81132152216984077</v>
      </c>
    </row>
    <row r="10" spans="1:12" x14ac:dyDescent="0.3">
      <c r="B10" s="17" t="s">
        <v>121</v>
      </c>
      <c r="C10" s="21">
        <v>779744000.00000012</v>
      </c>
      <c r="D10" s="21">
        <v>937526144</v>
      </c>
      <c r="E10" s="22">
        <v>0.83170373966659228</v>
      </c>
      <c r="F10" s="23" t="s">
        <v>1282</v>
      </c>
      <c r="I10" s="16" t="s">
        <v>1269</v>
      </c>
      <c r="J10" s="19">
        <v>42996800000</v>
      </c>
      <c r="K10" s="19">
        <v>42358923256</v>
      </c>
      <c r="L10" s="2">
        <v>1.0150588517121868</v>
      </c>
    </row>
    <row r="11" spans="1:12" x14ac:dyDescent="0.3">
      <c r="B11" s="17" t="s">
        <v>175</v>
      </c>
      <c r="C11" s="21">
        <v>797440000.00000012</v>
      </c>
      <c r="D11" s="21">
        <v>635832350</v>
      </c>
      <c r="E11" s="22">
        <v>1.2541670772177604</v>
      </c>
      <c r="F11" s="23" t="s">
        <v>1279</v>
      </c>
      <c r="I11" s="16" t="s">
        <v>1272</v>
      </c>
      <c r="J11" s="19">
        <v>121510384000</v>
      </c>
      <c r="K11" s="19">
        <v>130345043950</v>
      </c>
      <c r="L11" s="2">
        <v>0.93222097532615855</v>
      </c>
    </row>
    <row r="12" spans="1:12" x14ac:dyDescent="0.3">
      <c r="B12" s="16" t="s">
        <v>1262</v>
      </c>
      <c r="C12" s="21">
        <v>1452800000</v>
      </c>
      <c r="D12" s="21">
        <v>997316600</v>
      </c>
      <c r="E12" s="22">
        <v>1.4567089327501417</v>
      </c>
      <c r="F12" s="23" t="s">
        <v>1279</v>
      </c>
    </row>
    <row r="13" spans="1:12" x14ac:dyDescent="0.3">
      <c r="B13" s="17" t="s">
        <v>201</v>
      </c>
      <c r="C13" s="21">
        <v>658560000.00000012</v>
      </c>
      <c r="D13" s="21">
        <v>163211339</v>
      </c>
      <c r="E13" s="22">
        <v>4.035013768252953</v>
      </c>
      <c r="F13" s="23" t="s">
        <v>1279</v>
      </c>
    </row>
    <row r="14" spans="1:12" x14ac:dyDescent="0.3">
      <c r="B14" s="17" t="s">
        <v>469</v>
      </c>
      <c r="C14" s="21">
        <v>41600000</v>
      </c>
      <c r="D14" s="21">
        <v>34824361</v>
      </c>
      <c r="E14" s="22">
        <v>1.1945660682761703</v>
      </c>
      <c r="F14" s="23" t="s">
        <v>1279</v>
      </c>
    </row>
    <row r="15" spans="1:12" x14ac:dyDescent="0.3">
      <c r="B15" s="17" t="s">
        <v>143</v>
      </c>
      <c r="C15" s="21">
        <v>678720000</v>
      </c>
      <c r="D15" s="21">
        <v>726439368</v>
      </c>
      <c r="E15" s="22">
        <v>0.93431059755010415</v>
      </c>
      <c r="F15" s="23" t="s">
        <v>1280</v>
      </c>
    </row>
    <row r="16" spans="1:12" x14ac:dyDescent="0.3">
      <c r="B16" s="17" t="s">
        <v>215</v>
      </c>
      <c r="C16" s="21">
        <v>73920000.000000015</v>
      </c>
      <c r="D16" s="21">
        <v>72841532</v>
      </c>
      <c r="E16" s="22">
        <v>1.0148056743232696</v>
      </c>
      <c r="F16" s="23" t="s">
        <v>1281</v>
      </c>
    </row>
    <row r="17" spans="1:6" x14ac:dyDescent="0.3">
      <c r="B17" s="16" t="s">
        <v>1263</v>
      </c>
      <c r="C17" s="21">
        <v>107646480000</v>
      </c>
      <c r="D17" s="21">
        <v>115664405260</v>
      </c>
      <c r="E17" s="22">
        <v>0.93067940614939704</v>
      </c>
      <c r="F17" s="23" t="s">
        <v>1280</v>
      </c>
    </row>
    <row r="18" spans="1:6" x14ac:dyDescent="0.3">
      <c r="B18" s="17" t="s">
        <v>156</v>
      </c>
      <c r="C18" s="21">
        <v>2166080000.0000005</v>
      </c>
      <c r="D18" s="21">
        <v>1777554368</v>
      </c>
      <c r="E18" s="22">
        <v>1.218573135648811</v>
      </c>
      <c r="F18" s="23" t="s">
        <v>1279</v>
      </c>
    </row>
    <row r="19" spans="1:6" x14ac:dyDescent="0.3">
      <c r="B19" s="17" t="s">
        <v>93</v>
      </c>
      <c r="C19" s="21">
        <v>5234880000</v>
      </c>
      <c r="D19" s="21">
        <v>6576570789</v>
      </c>
      <c r="E19" s="22">
        <v>0.79598930323321115</v>
      </c>
      <c r="F19" s="23" t="s">
        <v>1282</v>
      </c>
    </row>
    <row r="20" spans="1:6" x14ac:dyDescent="0.3">
      <c r="B20" s="17" t="s">
        <v>10</v>
      </c>
      <c r="C20" s="21">
        <v>99406720000</v>
      </c>
      <c r="D20" s="21">
        <v>106005845316</v>
      </c>
      <c r="E20" s="22">
        <v>0.9377475336729949</v>
      </c>
      <c r="F20" s="23" t="s">
        <v>1280</v>
      </c>
    </row>
    <row r="21" spans="1:6" x14ac:dyDescent="0.3">
      <c r="B21" s="17" t="s">
        <v>264</v>
      </c>
      <c r="C21" s="21">
        <v>838800000.00000012</v>
      </c>
      <c r="D21" s="21">
        <v>1304434787</v>
      </c>
      <c r="E21" s="22">
        <v>0.64303712869319551</v>
      </c>
      <c r="F21" s="23" t="s">
        <v>1282</v>
      </c>
    </row>
    <row r="22" spans="1:6" x14ac:dyDescent="0.3">
      <c r="B22" s="16" t="s">
        <v>1264</v>
      </c>
      <c r="C22" s="21">
        <v>10244800000</v>
      </c>
      <c r="D22" s="21">
        <v>11676774557</v>
      </c>
      <c r="E22" s="22">
        <v>0.877365573000503</v>
      </c>
      <c r="F22" s="23" t="s">
        <v>1282</v>
      </c>
    </row>
    <row r="23" spans="1:6" x14ac:dyDescent="0.3">
      <c r="B23" s="17" t="s">
        <v>96</v>
      </c>
      <c r="C23" s="21">
        <v>8531200000</v>
      </c>
      <c r="D23" s="21">
        <v>9822539931</v>
      </c>
      <c r="E23" s="22">
        <v>0.86853299247738125</v>
      </c>
      <c r="F23" s="23" t="s">
        <v>1282</v>
      </c>
    </row>
    <row r="24" spans="1:6" x14ac:dyDescent="0.3">
      <c r="B24" s="17" t="s">
        <v>98</v>
      </c>
      <c r="C24" s="21">
        <v>656320000.00000012</v>
      </c>
      <c r="D24" s="21">
        <v>573477459</v>
      </c>
      <c r="E24" s="22">
        <v>1.1444564903116796</v>
      </c>
      <c r="F24" s="23" t="s">
        <v>1279</v>
      </c>
    </row>
    <row r="25" spans="1:6" x14ac:dyDescent="0.3">
      <c r="B25" s="17" t="s">
        <v>142</v>
      </c>
      <c r="C25" s="21">
        <v>1057280000.0000002</v>
      </c>
      <c r="D25" s="21">
        <v>1280757167</v>
      </c>
      <c r="E25" s="22">
        <v>0.82551167952980131</v>
      </c>
      <c r="F25" s="23" t="s">
        <v>1282</v>
      </c>
    </row>
    <row r="26" spans="1:6" x14ac:dyDescent="0.3">
      <c r="B26" s="16" t="s">
        <v>1272</v>
      </c>
      <c r="C26" s="21">
        <v>121510384000</v>
      </c>
      <c r="D26" s="21">
        <v>130345043950</v>
      </c>
      <c r="E26" s="22">
        <v>0.93222097532615855</v>
      </c>
      <c r="F26" s="23" t="s">
        <v>1280</v>
      </c>
    </row>
    <row r="29" spans="1:6" s="24" customFormat="1" x14ac:dyDescent="0.3"/>
    <row r="30" spans="1:6" x14ac:dyDescent="0.3">
      <c r="A30" s="45" t="s">
        <v>1285</v>
      </c>
      <c r="B30" s="47"/>
    </row>
    <row r="31" spans="1:6" x14ac:dyDescent="0.3">
      <c r="A31" s="47"/>
      <c r="B31" s="47"/>
    </row>
    <row r="34" spans="2:6" x14ac:dyDescent="0.3">
      <c r="B34" s="47" t="s">
        <v>1290</v>
      </c>
      <c r="C34" s="47"/>
      <c r="D34" s="47"/>
      <c r="E34" s="47"/>
      <c r="F34" s="47"/>
    </row>
    <row r="35" spans="2:6" x14ac:dyDescent="0.3">
      <c r="B35" s="15" t="s">
        <v>1265</v>
      </c>
      <c r="C35" t="s" vm="1">
        <v>1277</v>
      </c>
    </row>
    <row r="37" spans="2:6" x14ac:dyDescent="0.3">
      <c r="B37" s="15" t="s">
        <v>1271</v>
      </c>
      <c r="C37" t="s">
        <v>1276</v>
      </c>
      <c r="D37" s="2" t="s">
        <v>1288</v>
      </c>
      <c r="E37" s="2" t="s">
        <v>1281</v>
      </c>
      <c r="F37" s="2" t="s">
        <v>1287</v>
      </c>
    </row>
    <row r="38" spans="2:6" x14ac:dyDescent="0.3">
      <c r="B38" s="16" t="s">
        <v>201</v>
      </c>
      <c r="C38" s="14">
        <v>4.035013768252953</v>
      </c>
      <c r="D38" s="2">
        <v>4.035013768252953</v>
      </c>
      <c r="E38" s="2"/>
      <c r="F38" s="2"/>
    </row>
    <row r="39" spans="2:6" x14ac:dyDescent="0.3">
      <c r="B39" s="16" t="s">
        <v>125</v>
      </c>
      <c r="C39" s="14">
        <v>1.3599605413838738</v>
      </c>
      <c r="D39" s="2">
        <v>1.3599605413838738</v>
      </c>
      <c r="E39" s="2"/>
      <c r="F39" s="2"/>
    </row>
    <row r="40" spans="2:6" x14ac:dyDescent="0.3">
      <c r="B40" s="16" t="s">
        <v>175</v>
      </c>
      <c r="C40" s="14">
        <v>1.2541670772177604</v>
      </c>
      <c r="D40" s="2">
        <v>1.2541670772177604</v>
      </c>
      <c r="E40" s="2"/>
      <c r="F40" s="2"/>
    </row>
    <row r="41" spans="2:6" x14ac:dyDescent="0.3">
      <c r="B41" s="16" t="s">
        <v>156</v>
      </c>
      <c r="C41" s="14">
        <v>1.218573135648811</v>
      </c>
      <c r="D41" s="2">
        <v>1.218573135648811</v>
      </c>
      <c r="E41" s="2"/>
      <c r="F41" s="2"/>
    </row>
    <row r="42" spans="2:6" x14ac:dyDescent="0.3">
      <c r="B42" s="16" t="s">
        <v>469</v>
      </c>
      <c r="C42" s="14">
        <v>1.1945660682761703</v>
      </c>
      <c r="D42" s="2">
        <v>1.1945660682761703</v>
      </c>
      <c r="E42" s="2"/>
      <c r="F42" s="2"/>
    </row>
    <row r="43" spans="2:6" x14ac:dyDescent="0.3">
      <c r="B43" s="16" t="s">
        <v>98</v>
      </c>
      <c r="C43" s="14">
        <v>1.1444564903116796</v>
      </c>
      <c r="D43" s="2">
        <v>1.1444564903116796</v>
      </c>
      <c r="E43" s="2"/>
      <c r="F43" s="2"/>
    </row>
    <row r="44" spans="2:6" x14ac:dyDescent="0.3">
      <c r="B44" s="16" t="s">
        <v>215</v>
      </c>
      <c r="C44" s="14">
        <v>1.0148056743232696</v>
      </c>
      <c r="D44" s="2"/>
      <c r="E44" s="2">
        <v>1.0148056743232696</v>
      </c>
      <c r="F44" s="2"/>
    </row>
    <row r="45" spans="2:6" x14ac:dyDescent="0.3">
      <c r="B45" s="16" t="s">
        <v>10</v>
      </c>
      <c r="C45" s="14">
        <v>0.9377475336729949</v>
      </c>
      <c r="D45" s="2"/>
      <c r="E45" s="2"/>
      <c r="F45" s="2">
        <v>0.9377475336729949</v>
      </c>
    </row>
    <row r="46" spans="2:6" x14ac:dyDescent="0.3">
      <c r="B46" s="16" t="s">
        <v>143</v>
      </c>
      <c r="C46" s="14">
        <v>0.93431059755010415</v>
      </c>
      <c r="D46" s="2"/>
      <c r="E46" s="2"/>
      <c r="F46" s="2">
        <v>0.93431059755010415</v>
      </c>
    </row>
    <row r="47" spans="2:6" x14ac:dyDescent="0.3">
      <c r="B47" s="16" t="s">
        <v>96</v>
      </c>
      <c r="C47" s="14">
        <v>0.86853299247738125</v>
      </c>
      <c r="D47" s="2"/>
      <c r="E47" s="2"/>
      <c r="F47" s="2">
        <v>0.86853299247738125</v>
      </c>
    </row>
    <row r="48" spans="2:6" x14ac:dyDescent="0.3">
      <c r="B48" s="16" t="s">
        <v>121</v>
      </c>
      <c r="C48" s="14">
        <v>0.83170373966659228</v>
      </c>
      <c r="D48" s="2"/>
      <c r="E48" s="2"/>
      <c r="F48" s="2">
        <v>0.83170373966659228</v>
      </c>
    </row>
    <row r="49" spans="2:6" x14ac:dyDescent="0.3">
      <c r="B49" s="16" t="s">
        <v>142</v>
      </c>
      <c r="C49" s="14">
        <v>0.82551167952980131</v>
      </c>
      <c r="D49" s="2"/>
      <c r="E49" s="2"/>
      <c r="F49" s="2">
        <v>0.82551167952980131</v>
      </c>
    </row>
    <row r="50" spans="2:6" x14ac:dyDescent="0.3">
      <c r="B50" s="16" t="s">
        <v>93</v>
      </c>
      <c r="C50" s="14">
        <v>0.79598930323321115</v>
      </c>
      <c r="D50" s="2"/>
      <c r="E50" s="2"/>
      <c r="F50" s="2">
        <v>0.79598930323321115</v>
      </c>
    </row>
    <row r="51" spans="2:6" x14ac:dyDescent="0.3">
      <c r="B51" s="16" t="s">
        <v>264</v>
      </c>
      <c r="C51" s="14">
        <v>0.64303712869319551</v>
      </c>
      <c r="D51" s="2"/>
      <c r="E51" s="2"/>
      <c r="F51" s="2">
        <v>0.64303712869319551</v>
      </c>
    </row>
    <row r="52" spans="2:6" x14ac:dyDescent="0.3">
      <c r="B52" s="16" t="s">
        <v>1272</v>
      </c>
      <c r="C52" s="14">
        <v>0.93222097532615855</v>
      </c>
      <c r="D52" s="2"/>
      <c r="E52" s="2"/>
      <c r="F52" s="2">
        <v>0.93222097532615855</v>
      </c>
    </row>
    <row r="57" spans="2:6" x14ac:dyDescent="0.3">
      <c r="B57" s="47" t="s">
        <v>1289</v>
      </c>
      <c r="C57" s="47"/>
      <c r="D57" s="47"/>
      <c r="E57" s="47"/>
      <c r="F57" s="47"/>
    </row>
    <row r="58" spans="2:6" x14ac:dyDescent="0.3">
      <c r="B58" s="15" t="s">
        <v>1265</v>
      </c>
      <c r="C58" t="s" vm="1">
        <v>1277</v>
      </c>
    </row>
    <row r="60" spans="2:6" x14ac:dyDescent="0.3">
      <c r="B60" s="15" t="s">
        <v>1271</v>
      </c>
      <c r="C60" t="s">
        <v>1276</v>
      </c>
      <c r="D60" s="2" t="s">
        <v>1288</v>
      </c>
      <c r="E60" s="2" t="s">
        <v>1281</v>
      </c>
      <c r="F60" s="2" t="s">
        <v>1287</v>
      </c>
    </row>
    <row r="61" spans="2:6" x14ac:dyDescent="0.3">
      <c r="B61" s="16" t="s">
        <v>1262</v>
      </c>
      <c r="C61" s="14">
        <v>1.4567089327501417</v>
      </c>
      <c r="D61" s="2">
        <v>1.4567089327501417</v>
      </c>
      <c r="E61" s="2"/>
      <c r="F61" s="2"/>
    </row>
    <row r="62" spans="2:6" x14ac:dyDescent="0.3">
      <c r="B62" s="16" t="s">
        <v>1261</v>
      </c>
      <c r="C62" s="14">
        <v>1.0796175841202962</v>
      </c>
      <c r="D62" s="2"/>
      <c r="E62" s="2">
        <v>1.0796175841202962</v>
      </c>
      <c r="F62" s="2"/>
    </row>
    <row r="63" spans="2:6" x14ac:dyDescent="0.3">
      <c r="B63" s="16" t="s">
        <v>1263</v>
      </c>
      <c r="C63" s="14">
        <v>0.93067940614939704</v>
      </c>
      <c r="D63" s="2"/>
      <c r="E63" s="2"/>
      <c r="F63" s="2">
        <v>0.93067940614939704</v>
      </c>
    </row>
    <row r="64" spans="2:6" x14ac:dyDescent="0.3">
      <c r="B64" s="16" t="s">
        <v>1264</v>
      </c>
      <c r="C64" s="14">
        <v>0.877365573000503</v>
      </c>
      <c r="D64" s="2"/>
      <c r="E64" s="2"/>
      <c r="F64" s="2">
        <v>0.877365573000503</v>
      </c>
    </row>
    <row r="65" spans="1:6" x14ac:dyDescent="0.3">
      <c r="B65" s="16" t="s">
        <v>1272</v>
      </c>
      <c r="C65" s="14">
        <v>0.93222097532615855</v>
      </c>
      <c r="D65" s="2"/>
      <c r="E65" s="2"/>
      <c r="F65" s="2">
        <v>0.93222097532615855</v>
      </c>
    </row>
    <row r="72" spans="1:6" x14ac:dyDescent="0.3">
      <c r="A72" s="45" t="s">
        <v>1291</v>
      </c>
      <c r="B72" s="45"/>
    </row>
    <row r="73" spans="1:6" x14ac:dyDescent="0.3">
      <c r="A73" s="45"/>
      <c r="B73" s="45"/>
    </row>
    <row r="75" spans="1:6" x14ac:dyDescent="0.3">
      <c r="B75" s="25" t="s">
        <v>1293</v>
      </c>
      <c r="C75" s="26" t="s">
        <v>1266</v>
      </c>
      <c r="D75" s="27" t="s">
        <v>1292</v>
      </c>
    </row>
    <row r="76" spans="1:6" x14ac:dyDescent="0.3">
      <c r="B76" s="29">
        <f>GETPIVOTDATA("[Measures].[Tổng Doanh Số]",$B$7)</f>
        <v>121510384000</v>
      </c>
      <c r="C76" s="29">
        <f>GETPIVOTDATA("[Measures].[Tổng Target]",$B$7)</f>
        <v>130345043950</v>
      </c>
      <c r="D76" s="28">
        <f>GETPIVOTDATA("[Measures].[% Đạt Target]",$B$7)</f>
        <v>0.93222097532615855</v>
      </c>
    </row>
    <row r="79" spans="1:6" x14ac:dyDescent="0.3">
      <c r="A79" s="46" t="s">
        <v>1294</v>
      </c>
      <c r="B79" s="47"/>
      <c r="C79" s="47"/>
    </row>
    <row r="80" spans="1:6" x14ac:dyDescent="0.3">
      <c r="A80" s="47"/>
      <c r="B80" s="47"/>
      <c r="C80" s="47"/>
    </row>
  </sheetData>
  <mergeCells count="7">
    <mergeCell ref="A72:B73"/>
    <mergeCell ref="A79:C80"/>
    <mergeCell ref="B4:F4"/>
    <mergeCell ref="A30:B31"/>
    <mergeCell ref="A1:B2"/>
    <mergeCell ref="B57:F57"/>
    <mergeCell ref="B34:F34"/>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E054-466C-4F11-B5F1-63C0B4F445B5}">
  <dimension ref="S11:W30"/>
  <sheetViews>
    <sheetView showGridLines="0" tabSelected="1" zoomScale="74" zoomScaleNormal="74" workbookViewId="0">
      <selection activeCell="X6" sqref="X6"/>
    </sheetView>
  </sheetViews>
  <sheetFormatPr defaultRowHeight="14.4" x14ac:dyDescent="0.3"/>
  <cols>
    <col min="14" max="14" width="19.6640625" bestFit="1" customWidth="1"/>
    <col min="15" max="15" width="15.5546875" bestFit="1" customWidth="1"/>
    <col min="16" max="16" width="15.109375" bestFit="1" customWidth="1"/>
    <col min="17" max="17" width="12.109375" bestFit="1" customWidth="1"/>
    <col min="18" max="18" width="8.5546875" customWidth="1"/>
    <col min="19" max="19" width="19.6640625" bestFit="1" customWidth="1"/>
    <col min="20" max="21" width="16.77734375" bestFit="1" customWidth="1"/>
    <col min="22" max="22" width="12.21875" bestFit="1" customWidth="1"/>
    <col min="23" max="23" width="11.21875" bestFit="1" customWidth="1"/>
  </cols>
  <sheetData>
    <row r="11" spans="19:23" x14ac:dyDescent="0.3">
      <c r="S11" s="31" t="s">
        <v>1271</v>
      </c>
      <c r="T11" s="32" t="s">
        <v>1274</v>
      </c>
      <c r="U11" s="32" t="s">
        <v>1275</v>
      </c>
      <c r="V11" s="33" t="s">
        <v>1276</v>
      </c>
      <c r="W11" s="34" t="s">
        <v>1278</v>
      </c>
    </row>
    <row r="12" spans="19:23" x14ac:dyDescent="0.3">
      <c r="S12" s="35" t="s">
        <v>1261</v>
      </c>
      <c r="T12" s="32">
        <v>2166304000.0000005</v>
      </c>
      <c r="U12" s="32">
        <v>2006547533</v>
      </c>
      <c r="V12" s="33">
        <v>1.0796175841202962</v>
      </c>
      <c r="W12" s="36" t="s">
        <v>1281</v>
      </c>
    </row>
    <row r="13" spans="19:23" x14ac:dyDescent="0.3">
      <c r="S13" s="37" t="s">
        <v>125</v>
      </c>
      <c r="T13" s="32">
        <v>589120000</v>
      </c>
      <c r="U13" s="32">
        <v>433189039</v>
      </c>
      <c r="V13" s="33">
        <v>1.3599605413838738</v>
      </c>
      <c r="W13" s="36" t="s">
        <v>1279</v>
      </c>
    </row>
    <row r="14" spans="19:23" x14ac:dyDescent="0.3">
      <c r="S14" s="37" t="s">
        <v>121</v>
      </c>
      <c r="T14" s="32">
        <v>779744000.00000012</v>
      </c>
      <c r="U14" s="32">
        <v>937526144</v>
      </c>
      <c r="V14" s="33">
        <v>0.83170373966659228</v>
      </c>
      <c r="W14" s="36" t="s">
        <v>1282</v>
      </c>
    </row>
    <row r="15" spans="19:23" x14ac:dyDescent="0.3">
      <c r="S15" s="37" t="s">
        <v>175</v>
      </c>
      <c r="T15" s="32">
        <v>797440000.00000012</v>
      </c>
      <c r="U15" s="32">
        <v>635832350</v>
      </c>
      <c r="V15" s="33">
        <v>1.2541670772177604</v>
      </c>
      <c r="W15" s="36" t="s">
        <v>1279</v>
      </c>
    </row>
    <row r="16" spans="19:23" x14ac:dyDescent="0.3">
      <c r="S16" s="35" t="s">
        <v>1262</v>
      </c>
      <c r="T16" s="32">
        <v>1452800000</v>
      </c>
      <c r="U16" s="32">
        <v>997316600</v>
      </c>
      <c r="V16" s="33">
        <v>1.4567089327501417</v>
      </c>
      <c r="W16" s="36" t="s">
        <v>1279</v>
      </c>
    </row>
    <row r="17" spans="19:23" x14ac:dyDescent="0.3">
      <c r="S17" s="37" t="s">
        <v>201</v>
      </c>
      <c r="T17" s="32">
        <v>658560000.00000012</v>
      </c>
      <c r="U17" s="32">
        <v>163211339</v>
      </c>
      <c r="V17" s="33">
        <v>4.035013768252953</v>
      </c>
      <c r="W17" s="36" t="s">
        <v>1279</v>
      </c>
    </row>
    <row r="18" spans="19:23" x14ac:dyDescent="0.3">
      <c r="S18" s="37" t="s">
        <v>469</v>
      </c>
      <c r="T18" s="32">
        <v>41600000</v>
      </c>
      <c r="U18" s="32">
        <v>34824361</v>
      </c>
      <c r="V18" s="33">
        <v>1.1945660682761703</v>
      </c>
      <c r="W18" s="36" t="s">
        <v>1279</v>
      </c>
    </row>
    <row r="19" spans="19:23" x14ac:dyDescent="0.3">
      <c r="S19" s="37" t="s">
        <v>143</v>
      </c>
      <c r="T19" s="32">
        <v>678720000</v>
      </c>
      <c r="U19" s="32">
        <v>726439368</v>
      </c>
      <c r="V19" s="33">
        <v>0.93431059755010415</v>
      </c>
      <c r="W19" s="36" t="s">
        <v>1280</v>
      </c>
    </row>
    <row r="20" spans="19:23" x14ac:dyDescent="0.3">
      <c r="S20" s="37" t="s">
        <v>215</v>
      </c>
      <c r="T20" s="32">
        <v>73920000.000000015</v>
      </c>
      <c r="U20" s="32">
        <v>72841532</v>
      </c>
      <c r="V20" s="33">
        <v>1.0148056743232696</v>
      </c>
      <c r="W20" s="36" t="s">
        <v>1281</v>
      </c>
    </row>
    <row r="21" spans="19:23" x14ac:dyDescent="0.3">
      <c r="S21" s="35" t="s">
        <v>1263</v>
      </c>
      <c r="T21" s="32">
        <v>107646480000</v>
      </c>
      <c r="U21" s="32">
        <v>115664405260</v>
      </c>
      <c r="V21" s="33">
        <v>0.93067940614939704</v>
      </c>
      <c r="W21" s="36" t="s">
        <v>1280</v>
      </c>
    </row>
    <row r="22" spans="19:23" x14ac:dyDescent="0.3">
      <c r="S22" s="37" t="s">
        <v>156</v>
      </c>
      <c r="T22" s="32">
        <v>2166080000.0000005</v>
      </c>
      <c r="U22" s="32">
        <v>1777554368</v>
      </c>
      <c r="V22" s="33">
        <v>1.218573135648811</v>
      </c>
      <c r="W22" s="36" t="s">
        <v>1279</v>
      </c>
    </row>
    <row r="23" spans="19:23" x14ac:dyDescent="0.3">
      <c r="S23" s="37" t="s">
        <v>93</v>
      </c>
      <c r="T23" s="32">
        <v>5234880000</v>
      </c>
      <c r="U23" s="32">
        <v>6576570789</v>
      </c>
      <c r="V23" s="33">
        <v>0.79598930323321115</v>
      </c>
      <c r="W23" s="36" t="s">
        <v>1282</v>
      </c>
    </row>
    <row r="24" spans="19:23" x14ac:dyDescent="0.3">
      <c r="S24" s="37" t="s">
        <v>10</v>
      </c>
      <c r="T24" s="32">
        <v>99406720000</v>
      </c>
      <c r="U24" s="32">
        <v>106005845316</v>
      </c>
      <c r="V24" s="33">
        <v>0.9377475336729949</v>
      </c>
      <c r="W24" s="36" t="s">
        <v>1280</v>
      </c>
    </row>
    <row r="25" spans="19:23" x14ac:dyDescent="0.3">
      <c r="S25" s="37" t="s">
        <v>264</v>
      </c>
      <c r="T25" s="32">
        <v>838800000.00000012</v>
      </c>
      <c r="U25" s="32">
        <v>1304434787</v>
      </c>
      <c r="V25" s="33">
        <v>0.64303712869319551</v>
      </c>
      <c r="W25" s="36" t="s">
        <v>1282</v>
      </c>
    </row>
    <row r="26" spans="19:23" x14ac:dyDescent="0.3">
      <c r="S26" s="35" t="s">
        <v>1264</v>
      </c>
      <c r="T26" s="32">
        <v>10244800000</v>
      </c>
      <c r="U26" s="32">
        <v>11676774557</v>
      </c>
      <c r="V26" s="33">
        <v>0.877365573000503</v>
      </c>
      <c r="W26" s="36" t="s">
        <v>1282</v>
      </c>
    </row>
    <row r="27" spans="19:23" x14ac:dyDescent="0.3">
      <c r="S27" s="37" t="s">
        <v>96</v>
      </c>
      <c r="T27" s="32">
        <v>8531200000</v>
      </c>
      <c r="U27" s="32">
        <v>9822539931</v>
      </c>
      <c r="V27" s="33">
        <v>0.86853299247738125</v>
      </c>
      <c r="W27" s="36" t="s">
        <v>1282</v>
      </c>
    </row>
    <row r="28" spans="19:23" x14ac:dyDescent="0.3">
      <c r="S28" s="37" t="s">
        <v>98</v>
      </c>
      <c r="T28" s="32">
        <v>656320000.00000012</v>
      </c>
      <c r="U28" s="32">
        <v>573477459</v>
      </c>
      <c r="V28" s="33">
        <v>1.1444564903116796</v>
      </c>
      <c r="W28" s="36" t="s">
        <v>1279</v>
      </c>
    </row>
    <row r="29" spans="19:23" x14ac:dyDescent="0.3">
      <c r="S29" s="37" t="s">
        <v>142</v>
      </c>
      <c r="T29" s="32">
        <v>1057280000.0000002</v>
      </c>
      <c r="U29" s="32">
        <v>1280757167</v>
      </c>
      <c r="V29" s="33">
        <v>0.82551167952980131</v>
      </c>
      <c r="W29" s="36" t="s">
        <v>1282</v>
      </c>
    </row>
    <row r="30" spans="19:23" x14ac:dyDescent="0.3">
      <c r="S30" s="35" t="s">
        <v>1272</v>
      </c>
      <c r="T30" s="32">
        <v>121510384000</v>
      </c>
      <c r="U30" s="32">
        <v>130345043950</v>
      </c>
      <c r="V30" s="33">
        <v>0.93222097532615855</v>
      </c>
      <c r="W30" s="36" t="s">
        <v>1280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163AA-58EC-42C6-B6E1-407B823D019F}">
  <sheetPr>
    <tabColor theme="7" tint="0.79998168889431442"/>
  </sheetPr>
  <dimension ref="A1:J898"/>
  <sheetViews>
    <sheetView zoomScale="71" workbookViewId="0">
      <selection activeCell="E16" sqref="A2:J898"/>
    </sheetView>
  </sheetViews>
  <sheetFormatPr defaultRowHeight="14.4" x14ac:dyDescent="0.3"/>
  <cols>
    <col min="1" max="1" width="15.6640625" bestFit="1" customWidth="1"/>
    <col min="2" max="2" width="80.88671875" bestFit="1" customWidth="1"/>
    <col min="3" max="3" width="9.5546875" bestFit="1" customWidth="1"/>
    <col min="4" max="4" width="15.88671875" bestFit="1" customWidth="1"/>
    <col min="5" max="5" width="17.109375" bestFit="1" customWidth="1"/>
    <col min="6" max="7" width="18.77734375" bestFit="1" customWidth="1"/>
    <col min="8" max="8" width="18.21875" bestFit="1" customWidth="1"/>
    <col min="9" max="9" width="20" bestFit="1" customWidth="1"/>
    <col min="10" max="10" width="13.5546875" bestFit="1" customWidth="1"/>
  </cols>
  <sheetData>
    <row r="1" spans="1:10" x14ac:dyDescent="0.3">
      <c r="A1" t="s">
        <v>819</v>
      </c>
      <c r="B1" t="s">
        <v>811</v>
      </c>
      <c r="C1" t="s">
        <v>812</v>
      </c>
      <c r="D1" t="s">
        <v>818</v>
      </c>
      <c r="E1" t="s">
        <v>813</v>
      </c>
      <c r="F1" t="s">
        <v>814</v>
      </c>
      <c r="G1" t="s">
        <v>815</v>
      </c>
      <c r="H1" t="s">
        <v>816</v>
      </c>
      <c r="I1" t="s">
        <v>817</v>
      </c>
      <c r="J1" t="s">
        <v>841</v>
      </c>
    </row>
    <row r="2" spans="1:10" x14ac:dyDescent="0.3">
      <c r="A2" t="s">
        <v>93</v>
      </c>
      <c r="B2" s="14" t="s">
        <v>842</v>
      </c>
      <c r="C2">
        <v>12500000</v>
      </c>
      <c r="D2">
        <v>1</v>
      </c>
      <c r="E2">
        <v>0</v>
      </c>
      <c r="F2">
        <v>0</v>
      </c>
      <c r="G2">
        <v>1</v>
      </c>
      <c r="H2">
        <v>0</v>
      </c>
      <c r="I2">
        <v>0</v>
      </c>
      <c r="J2" t="s">
        <v>843</v>
      </c>
    </row>
    <row r="3" spans="1:10" x14ac:dyDescent="0.3">
      <c r="A3" t="s">
        <v>93</v>
      </c>
      <c r="B3" s="14" t="s">
        <v>844</v>
      </c>
      <c r="C3">
        <v>9500000</v>
      </c>
      <c r="D3">
        <v>4</v>
      </c>
      <c r="E3">
        <v>0</v>
      </c>
      <c r="F3">
        <v>0</v>
      </c>
      <c r="G3">
        <v>0</v>
      </c>
      <c r="H3">
        <v>0</v>
      </c>
      <c r="I3">
        <v>0</v>
      </c>
      <c r="J3" t="s">
        <v>843</v>
      </c>
    </row>
    <row r="4" spans="1:10" x14ac:dyDescent="0.3">
      <c r="A4" t="s">
        <v>93</v>
      </c>
      <c r="B4" s="14" t="s">
        <v>845</v>
      </c>
      <c r="C4">
        <v>9000000</v>
      </c>
      <c r="D4">
        <v>12</v>
      </c>
      <c r="E4">
        <v>0</v>
      </c>
      <c r="F4">
        <v>1</v>
      </c>
      <c r="G4">
        <v>3</v>
      </c>
      <c r="H4">
        <v>0</v>
      </c>
      <c r="I4">
        <v>0</v>
      </c>
      <c r="J4" t="s">
        <v>843</v>
      </c>
    </row>
    <row r="5" spans="1:10" x14ac:dyDescent="0.3">
      <c r="A5" t="s">
        <v>93</v>
      </c>
      <c r="B5" s="14" t="s">
        <v>846</v>
      </c>
      <c r="C5">
        <v>9000000</v>
      </c>
      <c r="D5">
        <v>1</v>
      </c>
      <c r="E5">
        <v>0</v>
      </c>
      <c r="F5">
        <v>0</v>
      </c>
      <c r="G5">
        <v>0</v>
      </c>
      <c r="H5">
        <v>0</v>
      </c>
      <c r="I5">
        <v>0</v>
      </c>
      <c r="J5" t="s">
        <v>843</v>
      </c>
    </row>
    <row r="6" spans="1:10" x14ac:dyDescent="0.3">
      <c r="A6" t="s">
        <v>93</v>
      </c>
      <c r="B6" s="14" t="s">
        <v>847</v>
      </c>
      <c r="C6">
        <v>9200000</v>
      </c>
      <c r="D6">
        <v>0</v>
      </c>
      <c r="E6">
        <v>1</v>
      </c>
      <c r="F6">
        <v>1</v>
      </c>
      <c r="G6">
        <v>1</v>
      </c>
      <c r="H6">
        <v>0</v>
      </c>
      <c r="I6">
        <v>0</v>
      </c>
      <c r="J6" t="s">
        <v>848</v>
      </c>
    </row>
    <row r="7" spans="1:10" x14ac:dyDescent="0.3">
      <c r="A7" t="s">
        <v>93</v>
      </c>
      <c r="B7" s="14" t="s">
        <v>849</v>
      </c>
      <c r="C7">
        <v>8500000</v>
      </c>
      <c r="D7">
        <v>0</v>
      </c>
      <c r="E7">
        <v>0</v>
      </c>
      <c r="F7">
        <v>0</v>
      </c>
      <c r="G7">
        <v>0</v>
      </c>
      <c r="H7">
        <v>0</v>
      </c>
      <c r="I7">
        <v>0</v>
      </c>
      <c r="J7" t="s">
        <v>848</v>
      </c>
    </row>
    <row r="8" spans="1:10" x14ac:dyDescent="0.3">
      <c r="A8" t="s">
        <v>93</v>
      </c>
      <c r="B8" s="14" t="s">
        <v>850</v>
      </c>
      <c r="C8">
        <v>7000000</v>
      </c>
      <c r="D8">
        <v>20</v>
      </c>
      <c r="E8">
        <v>1</v>
      </c>
      <c r="F8">
        <v>1</v>
      </c>
      <c r="G8">
        <v>2</v>
      </c>
      <c r="H8">
        <v>0</v>
      </c>
      <c r="I8">
        <v>0</v>
      </c>
      <c r="J8" t="s">
        <v>843</v>
      </c>
    </row>
    <row r="9" spans="1:10" x14ac:dyDescent="0.3">
      <c r="A9" t="s">
        <v>93</v>
      </c>
      <c r="B9" s="14" t="s">
        <v>850</v>
      </c>
      <c r="C9">
        <v>7300000</v>
      </c>
      <c r="D9">
        <v>9</v>
      </c>
      <c r="E9">
        <v>1</v>
      </c>
      <c r="F9">
        <v>5</v>
      </c>
      <c r="G9">
        <v>14</v>
      </c>
      <c r="H9">
        <v>0</v>
      </c>
      <c r="I9">
        <v>0</v>
      </c>
      <c r="J9" t="s">
        <v>843</v>
      </c>
    </row>
    <row r="10" spans="1:10" x14ac:dyDescent="0.3">
      <c r="A10" t="s">
        <v>93</v>
      </c>
      <c r="B10" s="14" t="s">
        <v>851</v>
      </c>
      <c r="C10">
        <v>7000000</v>
      </c>
      <c r="D10">
        <v>1</v>
      </c>
      <c r="E10">
        <v>0</v>
      </c>
      <c r="F10">
        <v>0</v>
      </c>
      <c r="G10">
        <v>0</v>
      </c>
      <c r="H10">
        <v>0</v>
      </c>
      <c r="I10">
        <v>0</v>
      </c>
      <c r="J10" t="s">
        <v>843</v>
      </c>
    </row>
    <row r="11" spans="1:10" x14ac:dyDescent="0.3">
      <c r="A11" t="s">
        <v>93</v>
      </c>
      <c r="B11" s="14" t="s">
        <v>478</v>
      </c>
      <c r="C11">
        <v>3199000</v>
      </c>
      <c r="D11">
        <v>0</v>
      </c>
      <c r="E11">
        <v>0</v>
      </c>
      <c r="F11">
        <v>0</v>
      </c>
      <c r="G11">
        <v>0</v>
      </c>
      <c r="H11">
        <v>0</v>
      </c>
      <c r="I11">
        <v>0</v>
      </c>
      <c r="J11" t="s">
        <v>848</v>
      </c>
    </row>
    <row r="12" spans="1:10" x14ac:dyDescent="0.3">
      <c r="A12" t="s">
        <v>93</v>
      </c>
      <c r="B12" s="14" t="s">
        <v>170</v>
      </c>
      <c r="C12">
        <v>6600000</v>
      </c>
      <c r="D12">
        <v>11</v>
      </c>
      <c r="E12">
        <v>0</v>
      </c>
      <c r="F12">
        <v>1</v>
      </c>
      <c r="G12">
        <v>3</v>
      </c>
      <c r="H12">
        <v>0</v>
      </c>
      <c r="I12">
        <v>0</v>
      </c>
      <c r="J12" t="s">
        <v>843</v>
      </c>
    </row>
    <row r="13" spans="1:10" x14ac:dyDescent="0.3">
      <c r="A13" t="s">
        <v>93</v>
      </c>
      <c r="B13" s="14" t="s">
        <v>205</v>
      </c>
      <c r="C13">
        <v>6600000</v>
      </c>
      <c r="D13">
        <v>6</v>
      </c>
      <c r="E13">
        <v>0</v>
      </c>
      <c r="F13">
        <v>0</v>
      </c>
      <c r="G13">
        <v>2</v>
      </c>
      <c r="H13">
        <v>0</v>
      </c>
      <c r="I13">
        <v>0</v>
      </c>
      <c r="J13" t="s">
        <v>843</v>
      </c>
    </row>
    <row r="14" spans="1:10" x14ac:dyDescent="0.3">
      <c r="A14" t="s">
        <v>93</v>
      </c>
      <c r="B14" s="14" t="s">
        <v>479</v>
      </c>
      <c r="C14">
        <v>5800000</v>
      </c>
      <c r="D14">
        <v>1</v>
      </c>
      <c r="E14">
        <v>0</v>
      </c>
      <c r="F14">
        <v>0</v>
      </c>
      <c r="G14">
        <v>0</v>
      </c>
      <c r="H14">
        <v>0</v>
      </c>
      <c r="I14">
        <v>0</v>
      </c>
      <c r="J14" t="s">
        <v>843</v>
      </c>
    </row>
    <row r="15" spans="1:10" x14ac:dyDescent="0.3">
      <c r="A15" t="s">
        <v>93</v>
      </c>
      <c r="B15" s="14" t="s">
        <v>231</v>
      </c>
      <c r="C15">
        <v>6600000</v>
      </c>
      <c r="D15">
        <v>16</v>
      </c>
      <c r="E15">
        <v>0</v>
      </c>
      <c r="F15">
        <v>1</v>
      </c>
      <c r="G15">
        <v>2</v>
      </c>
      <c r="H15">
        <v>0</v>
      </c>
      <c r="I15">
        <v>10</v>
      </c>
      <c r="J15" t="s">
        <v>843</v>
      </c>
    </row>
    <row r="16" spans="1:10" x14ac:dyDescent="0.3">
      <c r="A16" t="s">
        <v>93</v>
      </c>
      <c r="B16" s="14" t="s">
        <v>852</v>
      </c>
      <c r="C16">
        <v>6400000</v>
      </c>
      <c r="D16">
        <v>1</v>
      </c>
      <c r="E16">
        <v>0</v>
      </c>
      <c r="F16">
        <v>0</v>
      </c>
      <c r="G16">
        <v>0</v>
      </c>
      <c r="H16">
        <v>0</v>
      </c>
      <c r="I16">
        <v>0</v>
      </c>
      <c r="J16" t="s">
        <v>843</v>
      </c>
    </row>
    <row r="17" spans="1:10" x14ac:dyDescent="0.3">
      <c r="A17" t="s">
        <v>93</v>
      </c>
      <c r="B17" s="14" t="s">
        <v>481</v>
      </c>
      <c r="C17">
        <v>7300000</v>
      </c>
      <c r="D17">
        <v>1</v>
      </c>
      <c r="E17">
        <v>0</v>
      </c>
      <c r="F17">
        <v>0</v>
      </c>
      <c r="G17">
        <v>0</v>
      </c>
      <c r="H17">
        <v>0</v>
      </c>
      <c r="I17">
        <v>0</v>
      </c>
      <c r="J17" t="s">
        <v>843</v>
      </c>
    </row>
    <row r="18" spans="1:10" x14ac:dyDescent="0.3">
      <c r="A18" t="s">
        <v>93</v>
      </c>
      <c r="B18" s="14" t="s">
        <v>853</v>
      </c>
      <c r="C18">
        <v>8500000</v>
      </c>
      <c r="D18">
        <v>1</v>
      </c>
      <c r="E18">
        <v>1</v>
      </c>
      <c r="F18">
        <v>1</v>
      </c>
      <c r="G18">
        <v>1</v>
      </c>
      <c r="H18">
        <v>0</v>
      </c>
      <c r="I18">
        <v>0</v>
      </c>
      <c r="J18" t="s">
        <v>843</v>
      </c>
    </row>
    <row r="19" spans="1:10" x14ac:dyDescent="0.3">
      <c r="A19" t="s">
        <v>93</v>
      </c>
      <c r="B19" s="14" t="s">
        <v>854</v>
      </c>
      <c r="C19">
        <v>6100000</v>
      </c>
      <c r="D19">
        <v>1</v>
      </c>
      <c r="E19">
        <v>0</v>
      </c>
      <c r="F19">
        <v>0</v>
      </c>
      <c r="G19">
        <v>0</v>
      </c>
      <c r="H19">
        <v>0</v>
      </c>
      <c r="I19">
        <v>0</v>
      </c>
      <c r="J19" t="s">
        <v>843</v>
      </c>
    </row>
    <row r="20" spans="1:10" x14ac:dyDescent="0.3">
      <c r="A20" t="s">
        <v>93</v>
      </c>
      <c r="B20" s="14" t="s">
        <v>854</v>
      </c>
      <c r="C20">
        <v>6500000</v>
      </c>
      <c r="D20">
        <v>1</v>
      </c>
      <c r="E20">
        <v>0</v>
      </c>
      <c r="F20">
        <v>0</v>
      </c>
      <c r="G20">
        <v>0</v>
      </c>
      <c r="H20">
        <v>0</v>
      </c>
      <c r="I20">
        <v>0</v>
      </c>
      <c r="J20" t="s">
        <v>843</v>
      </c>
    </row>
    <row r="21" spans="1:10" x14ac:dyDescent="0.3">
      <c r="A21" t="s">
        <v>93</v>
      </c>
      <c r="B21" s="14" t="s">
        <v>482</v>
      </c>
      <c r="C21">
        <v>4900000</v>
      </c>
      <c r="D21">
        <v>1</v>
      </c>
      <c r="E21">
        <v>0</v>
      </c>
      <c r="F21">
        <v>0</v>
      </c>
      <c r="G21">
        <v>0</v>
      </c>
      <c r="H21">
        <v>0</v>
      </c>
      <c r="I21">
        <v>0</v>
      </c>
      <c r="J21" t="s">
        <v>843</v>
      </c>
    </row>
    <row r="22" spans="1:10" x14ac:dyDescent="0.3">
      <c r="A22" t="s">
        <v>93</v>
      </c>
      <c r="B22" s="14" t="s">
        <v>855</v>
      </c>
      <c r="C22">
        <v>11500000</v>
      </c>
      <c r="D22">
        <v>0</v>
      </c>
      <c r="E22">
        <v>0</v>
      </c>
      <c r="F22">
        <v>0</v>
      </c>
      <c r="G22">
        <v>1</v>
      </c>
      <c r="H22">
        <v>0</v>
      </c>
      <c r="I22">
        <v>0</v>
      </c>
      <c r="J22" t="s">
        <v>848</v>
      </c>
    </row>
    <row r="23" spans="1:10" x14ac:dyDescent="0.3">
      <c r="A23" t="s">
        <v>93</v>
      </c>
      <c r="B23" s="14" t="s">
        <v>856</v>
      </c>
      <c r="C23">
        <v>13000000</v>
      </c>
      <c r="D23">
        <v>0</v>
      </c>
      <c r="E23">
        <v>0</v>
      </c>
      <c r="F23">
        <v>0</v>
      </c>
      <c r="G23">
        <v>1</v>
      </c>
      <c r="H23">
        <v>0</v>
      </c>
      <c r="I23">
        <v>0</v>
      </c>
      <c r="J23" t="s">
        <v>848</v>
      </c>
    </row>
    <row r="24" spans="1:10" x14ac:dyDescent="0.3">
      <c r="A24" t="s">
        <v>93</v>
      </c>
      <c r="B24" s="14" t="s">
        <v>857</v>
      </c>
      <c r="C24">
        <v>10900000</v>
      </c>
      <c r="D24">
        <v>7</v>
      </c>
      <c r="E24">
        <v>5</v>
      </c>
      <c r="F24">
        <v>6</v>
      </c>
      <c r="G24">
        <v>7</v>
      </c>
      <c r="H24">
        <v>0</v>
      </c>
      <c r="I24">
        <v>0</v>
      </c>
      <c r="J24" t="s">
        <v>843</v>
      </c>
    </row>
    <row r="25" spans="1:10" x14ac:dyDescent="0.3">
      <c r="A25" t="s">
        <v>93</v>
      </c>
      <c r="B25" s="14" t="s">
        <v>858</v>
      </c>
      <c r="C25">
        <v>9900000</v>
      </c>
      <c r="D25">
        <v>0</v>
      </c>
      <c r="E25">
        <v>0</v>
      </c>
      <c r="F25">
        <v>0</v>
      </c>
      <c r="G25">
        <v>1</v>
      </c>
      <c r="H25">
        <v>0</v>
      </c>
      <c r="I25">
        <v>0</v>
      </c>
      <c r="J25" t="s">
        <v>848</v>
      </c>
    </row>
    <row r="26" spans="1:10" x14ac:dyDescent="0.3">
      <c r="A26" t="s">
        <v>93</v>
      </c>
      <c r="B26" s="14" t="s">
        <v>858</v>
      </c>
      <c r="C26">
        <v>9100000</v>
      </c>
      <c r="D26">
        <v>1</v>
      </c>
      <c r="E26">
        <v>0</v>
      </c>
      <c r="F26">
        <v>0</v>
      </c>
      <c r="G26">
        <v>0</v>
      </c>
      <c r="H26">
        <v>0</v>
      </c>
      <c r="I26">
        <v>0</v>
      </c>
      <c r="J26" t="s">
        <v>843</v>
      </c>
    </row>
    <row r="27" spans="1:10" x14ac:dyDescent="0.3">
      <c r="A27" t="s">
        <v>93</v>
      </c>
      <c r="B27" s="14" t="s">
        <v>859</v>
      </c>
      <c r="C27">
        <v>11200000</v>
      </c>
      <c r="D27">
        <v>5</v>
      </c>
      <c r="E27">
        <v>0</v>
      </c>
      <c r="F27">
        <v>0</v>
      </c>
      <c r="G27">
        <v>2</v>
      </c>
      <c r="H27">
        <v>0</v>
      </c>
      <c r="I27">
        <v>0</v>
      </c>
      <c r="J27" t="s">
        <v>843</v>
      </c>
    </row>
    <row r="28" spans="1:10" x14ac:dyDescent="0.3">
      <c r="A28" t="s">
        <v>93</v>
      </c>
      <c r="B28" s="14" t="s">
        <v>860</v>
      </c>
      <c r="C28">
        <v>12000000</v>
      </c>
      <c r="D28">
        <v>1</v>
      </c>
      <c r="E28">
        <v>0</v>
      </c>
      <c r="F28">
        <v>0</v>
      </c>
      <c r="G28">
        <v>0</v>
      </c>
      <c r="H28">
        <v>0</v>
      </c>
      <c r="I28">
        <v>0</v>
      </c>
      <c r="J28" t="s">
        <v>843</v>
      </c>
    </row>
    <row r="29" spans="1:10" x14ac:dyDescent="0.3">
      <c r="A29" t="s">
        <v>93</v>
      </c>
      <c r="B29" s="14" t="s">
        <v>484</v>
      </c>
      <c r="C29">
        <v>8000000</v>
      </c>
      <c r="D29">
        <v>0</v>
      </c>
      <c r="E29">
        <v>0</v>
      </c>
      <c r="F29">
        <v>0</v>
      </c>
      <c r="G29">
        <v>0</v>
      </c>
      <c r="H29">
        <v>0</v>
      </c>
      <c r="I29">
        <v>0</v>
      </c>
      <c r="J29" t="s">
        <v>848</v>
      </c>
    </row>
    <row r="30" spans="1:10" x14ac:dyDescent="0.3">
      <c r="A30" t="s">
        <v>93</v>
      </c>
      <c r="B30" s="14" t="s">
        <v>485</v>
      </c>
      <c r="C30">
        <v>5400000</v>
      </c>
      <c r="D30">
        <v>1</v>
      </c>
      <c r="E30">
        <v>0</v>
      </c>
      <c r="F30">
        <v>0</v>
      </c>
      <c r="G30">
        <v>0</v>
      </c>
      <c r="H30">
        <v>0</v>
      </c>
      <c r="I30">
        <v>0</v>
      </c>
      <c r="J30" t="s">
        <v>843</v>
      </c>
    </row>
    <row r="31" spans="1:10" x14ac:dyDescent="0.3">
      <c r="A31" t="s">
        <v>93</v>
      </c>
      <c r="B31" s="14" t="s">
        <v>486</v>
      </c>
      <c r="C31">
        <v>5700000</v>
      </c>
      <c r="D31">
        <v>0</v>
      </c>
      <c r="E31">
        <v>0</v>
      </c>
      <c r="F31">
        <v>0</v>
      </c>
      <c r="G31">
        <v>0</v>
      </c>
      <c r="H31">
        <v>0</v>
      </c>
      <c r="I31">
        <v>0</v>
      </c>
      <c r="J31" t="s">
        <v>848</v>
      </c>
    </row>
    <row r="32" spans="1:10" x14ac:dyDescent="0.3">
      <c r="A32" t="s">
        <v>93</v>
      </c>
      <c r="B32" s="14" t="s">
        <v>488</v>
      </c>
      <c r="C32">
        <v>5400000</v>
      </c>
      <c r="D32">
        <v>1</v>
      </c>
      <c r="E32">
        <v>0</v>
      </c>
      <c r="F32">
        <v>0</v>
      </c>
      <c r="G32">
        <v>0</v>
      </c>
      <c r="H32">
        <v>0</v>
      </c>
      <c r="I32">
        <v>0</v>
      </c>
      <c r="J32" t="s">
        <v>843</v>
      </c>
    </row>
    <row r="33" spans="1:10" x14ac:dyDescent="0.3">
      <c r="A33" t="s">
        <v>93</v>
      </c>
      <c r="B33" s="14" t="s">
        <v>487</v>
      </c>
      <c r="C33">
        <v>5700000</v>
      </c>
      <c r="D33">
        <v>0</v>
      </c>
      <c r="E33">
        <v>0</v>
      </c>
      <c r="F33">
        <v>0</v>
      </c>
      <c r="G33">
        <v>0</v>
      </c>
      <c r="H33">
        <v>0</v>
      </c>
      <c r="I33">
        <v>0</v>
      </c>
      <c r="J33" t="s">
        <v>848</v>
      </c>
    </row>
    <row r="34" spans="1:10" x14ac:dyDescent="0.3">
      <c r="A34" t="s">
        <v>93</v>
      </c>
      <c r="B34" s="14" t="s">
        <v>233</v>
      </c>
      <c r="C34">
        <v>6500000</v>
      </c>
      <c r="D34">
        <v>3</v>
      </c>
      <c r="E34">
        <v>0</v>
      </c>
      <c r="F34">
        <v>1</v>
      </c>
      <c r="G34">
        <v>1</v>
      </c>
      <c r="H34">
        <v>0</v>
      </c>
      <c r="I34">
        <v>0</v>
      </c>
      <c r="J34" t="s">
        <v>843</v>
      </c>
    </row>
    <row r="35" spans="1:10" x14ac:dyDescent="0.3">
      <c r="A35" t="s">
        <v>93</v>
      </c>
      <c r="B35" s="14" t="s">
        <v>301</v>
      </c>
      <c r="C35">
        <v>6500000</v>
      </c>
      <c r="D35">
        <v>1</v>
      </c>
      <c r="E35">
        <v>1</v>
      </c>
      <c r="F35">
        <v>1</v>
      </c>
      <c r="G35">
        <v>1</v>
      </c>
      <c r="H35">
        <v>0</v>
      </c>
      <c r="I35">
        <v>0</v>
      </c>
      <c r="J35" t="s">
        <v>843</v>
      </c>
    </row>
    <row r="36" spans="1:10" x14ac:dyDescent="0.3">
      <c r="A36" t="s">
        <v>93</v>
      </c>
      <c r="B36" s="14" t="s">
        <v>489</v>
      </c>
      <c r="C36">
        <v>6500000</v>
      </c>
      <c r="D36">
        <v>3</v>
      </c>
      <c r="E36">
        <v>0</v>
      </c>
      <c r="F36">
        <v>0</v>
      </c>
      <c r="G36">
        <v>0</v>
      </c>
      <c r="H36">
        <v>0</v>
      </c>
      <c r="I36">
        <v>0</v>
      </c>
      <c r="J36" t="s">
        <v>843</v>
      </c>
    </row>
    <row r="37" spans="1:10" x14ac:dyDescent="0.3">
      <c r="A37" t="s">
        <v>93</v>
      </c>
      <c r="B37" s="14" t="s">
        <v>129</v>
      </c>
      <c r="C37">
        <v>6600000</v>
      </c>
      <c r="D37">
        <v>0</v>
      </c>
      <c r="E37">
        <v>0</v>
      </c>
      <c r="F37">
        <v>2</v>
      </c>
      <c r="G37">
        <v>4</v>
      </c>
      <c r="H37">
        <v>0</v>
      </c>
      <c r="I37">
        <v>0</v>
      </c>
      <c r="J37" t="s">
        <v>848</v>
      </c>
    </row>
    <row r="38" spans="1:10" x14ac:dyDescent="0.3">
      <c r="A38" t="s">
        <v>93</v>
      </c>
      <c r="B38" s="14" t="s">
        <v>861</v>
      </c>
      <c r="C38">
        <v>6200000</v>
      </c>
      <c r="D38">
        <v>0</v>
      </c>
      <c r="E38">
        <v>0</v>
      </c>
      <c r="F38">
        <v>0</v>
      </c>
      <c r="G38">
        <v>0</v>
      </c>
      <c r="H38">
        <v>0</v>
      </c>
      <c r="I38">
        <v>0</v>
      </c>
      <c r="J38" t="s">
        <v>848</v>
      </c>
    </row>
    <row r="39" spans="1:10" x14ac:dyDescent="0.3">
      <c r="A39" t="s">
        <v>93</v>
      </c>
      <c r="B39" s="14" t="s">
        <v>862</v>
      </c>
      <c r="C39">
        <v>5800000</v>
      </c>
      <c r="D39">
        <v>0</v>
      </c>
      <c r="E39">
        <v>0</v>
      </c>
      <c r="F39">
        <v>0</v>
      </c>
      <c r="G39">
        <v>0</v>
      </c>
      <c r="H39">
        <v>0</v>
      </c>
      <c r="I39">
        <v>0</v>
      </c>
      <c r="J39" t="s">
        <v>848</v>
      </c>
    </row>
    <row r="40" spans="1:10" x14ac:dyDescent="0.3">
      <c r="A40" t="s">
        <v>93</v>
      </c>
      <c r="B40" s="14" t="s">
        <v>302</v>
      </c>
      <c r="C40">
        <v>6600000</v>
      </c>
      <c r="D40">
        <v>0</v>
      </c>
      <c r="E40">
        <v>1</v>
      </c>
      <c r="F40">
        <v>1</v>
      </c>
      <c r="G40">
        <v>0</v>
      </c>
      <c r="H40">
        <v>0</v>
      </c>
      <c r="I40">
        <v>0</v>
      </c>
      <c r="J40" t="s">
        <v>848</v>
      </c>
    </row>
    <row r="41" spans="1:10" x14ac:dyDescent="0.3">
      <c r="A41" t="s">
        <v>93</v>
      </c>
      <c r="B41" s="14" t="s">
        <v>492</v>
      </c>
      <c r="C41">
        <v>5600000</v>
      </c>
      <c r="D41">
        <v>0</v>
      </c>
      <c r="E41">
        <v>0</v>
      </c>
      <c r="F41">
        <v>0</v>
      </c>
      <c r="G41">
        <v>0</v>
      </c>
      <c r="H41">
        <v>0</v>
      </c>
      <c r="I41">
        <v>0</v>
      </c>
      <c r="J41" t="s">
        <v>848</v>
      </c>
    </row>
    <row r="42" spans="1:10" x14ac:dyDescent="0.3">
      <c r="A42" t="s">
        <v>93</v>
      </c>
      <c r="B42" s="14" t="s">
        <v>493</v>
      </c>
      <c r="C42">
        <v>3850000</v>
      </c>
      <c r="D42">
        <v>0</v>
      </c>
      <c r="E42">
        <v>0</v>
      </c>
      <c r="F42">
        <v>0</v>
      </c>
      <c r="G42">
        <v>0</v>
      </c>
      <c r="H42">
        <v>0</v>
      </c>
      <c r="I42">
        <v>0</v>
      </c>
      <c r="J42" t="s">
        <v>848</v>
      </c>
    </row>
    <row r="43" spans="1:10" x14ac:dyDescent="0.3">
      <c r="A43" t="s">
        <v>93</v>
      </c>
      <c r="B43" s="14" t="s">
        <v>182</v>
      </c>
      <c r="C43">
        <v>4450000</v>
      </c>
      <c r="D43">
        <v>4</v>
      </c>
      <c r="E43">
        <v>0</v>
      </c>
      <c r="F43">
        <v>1</v>
      </c>
      <c r="G43">
        <v>4</v>
      </c>
      <c r="H43">
        <v>0</v>
      </c>
      <c r="I43">
        <v>0</v>
      </c>
      <c r="J43" t="s">
        <v>843</v>
      </c>
    </row>
    <row r="44" spans="1:10" x14ac:dyDescent="0.3">
      <c r="A44" t="s">
        <v>93</v>
      </c>
      <c r="B44" s="14" t="s">
        <v>494</v>
      </c>
      <c r="C44">
        <v>7499000</v>
      </c>
      <c r="D44">
        <v>0</v>
      </c>
      <c r="E44">
        <v>0</v>
      </c>
      <c r="F44">
        <v>0</v>
      </c>
      <c r="G44">
        <v>0</v>
      </c>
      <c r="H44">
        <v>0</v>
      </c>
      <c r="I44">
        <v>0</v>
      </c>
      <c r="J44" t="s">
        <v>848</v>
      </c>
    </row>
    <row r="45" spans="1:10" x14ac:dyDescent="0.3">
      <c r="A45" t="s">
        <v>93</v>
      </c>
      <c r="B45" s="14" t="s">
        <v>303</v>
      </c>
      <c r="C45">
        <v>4450000</v>
      </c>
      <c r="D45">
        <v>2</v>
      </c>
      <c r="E45">
        <v>0</v>
      </c>
      <c r="F45">
        <v>0</v>
      </c>
      <c r="G45">
        <v>1</v>
      </c>
      <c r="H45">
        <v>0</v>
      </c>
      <c r="I45">
        <v>0</v>
      </c>
      <c r="J45" t="s">
        <v>843</v>
      </c>
    </row>
    <row r="46" spans="1:10" x14ac:dyDescent="0.3">
      <c r="A46" t="s">
        <v>93</v>
      </c>
      <c r="B46" s="14" t="s">
        <v>495</v>
      </c>
      <c r="C46">
        <v>4800000</v>
      </c>
      <c r="D46">
        <v>0</v>
      </c>
      <c r="E46">
        <v>0</v>
      </c>
      <c r="F46">
        <v>0</v>
      </c>
      <c r="G46">
        <v>0</v>
      </c>
      <c r="H46">
        <v>0</v>
      </c>
      <c r="I46">
        <v>0</v>
      </c>
      <c r="J46" t="s">
        <v>848</v>
      </c>
    </row>
    <row r="47" spans="1:10" x14ac:dyDescent="0.3">
      <c r="A47" t="s">
        <v>93</v>
      </c>
      <c r="B47" s="14" t="s">
        <v>304</v>
      </c>
      <c r="C47">
        <v>4800000</v>
      </c>
      <c r="D47">
        <v>1</v>
      </c>
      <c r="E47">
        <v>0</v>
      </c>
      <c r="F47">
        <v>0</v>
      </c>
      <c r="G47">
        <v>0</v>
      </c>
      <c r="H47">
        <v>0</v>
      </c>
      <c r="I47">
        <v>0</v>
      </c>
      <c r="J47" t="s">
        <v>843</v>
      </c>
    </row>
    <row r="48" spans="1:10" x14ac:dyDescent="0.3">
      <c r="A48" t="s">
        <v>93</v>
      </c>
      <c r="B48" s="14" t="s">
        <v>496</v>
      </c>
      <c r="C48">
        <v>3500000</v>
      </c>
      <c r="D48">
        <v>0</v>
      </c>
      <c r="E48">
        <v>0</v>
      </c>
      <c r="F48">
        <v>0</v>
      </c>
      <c r="G48">
        <v>0</v>
      </c>
      <c r="H48">
        <v>0</v>
      </c>
      <c r="I48">
        <v>0</v>
      </c>
      <c r="J48" t="s">
        <v>848</v>
      </c>
    </row>
    <row r="49" spans="1:10" x14ac:dyDescent="0.3">
      <c r="A49" t="s">
        <v>93</v>
      </c>
      <c r="B49" s="14" t="s">
        <v>497</v>
      </c>
      <c r="C49">
        <v>4699000</v>
      </c>
      <c r="D49">
        <v>0</v>
      </c>
      <c r="E49">
        <v>0</v>
      </c>
      <c r="F49">
        <v>0</v>
      </c>
      <c r="G49">
        <v>0</v>
      </c>
      <c r="H49">
        <v>0</v>
      </c>
      <c r="I49">
        <v>0</v>
      </c>
      <c r="J49" t="s">
        <v>848</v>
      </c>
    </row>
    <row r="50" spans="1:10" x14ac:dyDescent="0.3">
      <c r="A50" t="s">
        <v>93</v>
      </c>
      <c r="B50" s="14" t="s">
        <v>498</v>
      </c>
      <c r="C50">
        <v>3400000</v>
      </c>
      <c r="D50">
        <v>0</v>
      </c>
      <c r="E50">
        <v>0</v>
      </c>
      <c r="F50">
        <v>0</v>
      </c>
      <c r="G50">
        <v>0</v>
      </c>
      <c r="H50">
        <v>0</v>
      </c>
      <c r="I50">
        <v>0</v>
      </c>
      <c r="J50" t="s">
        <v>848</v>
      </c>
    </row>
    <row r="51" spans="1:10" x14ac:dyDescent="0.3">
      <c r="A51" t="s">
        <v>93</v>
      </c>
      <c r="B51" s="14" t="s">
        <v>499</v>
      </c>
      <c r="C51">
        <v>4600000</v>
      </c>
      <c r="D51">
        <v>0</v>
      </c>
      <c r="E51">
        <v>0</v>
      </c>
      <c r="F51">
        <v>0</v>
      </c>
      <c r="G51">
        <v>0</v>
      </c>
      <c r="H51">
        <v>0</v>
      </c>
      <c r="I51">
        <v>0</v>
      </c>
      <c r="J51" t="s">
        <v>848</v>
      </c>
    </row>
    <row r="52" spans="1:10" x14ac:dyDescent="0.3">
      <c r="A52" t="s">
        <v>93</v>
      </c>
      <c r="B52" s="14" t="s">
        <v>863</v>
      </c>
      <c r="C52">
        <v>4600000</v>
      </c>
      <c r="D52">
        <v>0</v>
      </c>
      <c r="E52">
        <v>0</v>
      </c>
      <c r="F52">
        <v>0</v>
      </c>
      <c r="G52">
        <v>0</v>
      </c>
      <c r="H52">
        <v>0</v>
      </c>
      <c r="I52">
        <v>0</v>
      </c>
      <c r="J52" t="s">
        <v>848</v>
      </c>
    </row>
    <row r="53" spans="1:10" x14ac:dyDescent="0.3">
      <c r="A53" t="s">
        <v>93</v>
      </c>
      <c r="B53" s="14" t="s">
        <v>501</v>
      </c>
      <c r="C53">
        <v>4250000</v>
      </c>
      <c r="D53">
        <v>0</v>
      </c>
      <c r="E53">
        <v>0</v>
      </c>
      <c r="F53">
        <v>0</v>
      </c>
      <c r="G53">
        <v>0</v>
      </c>
      <c r="H53">
        <v>0</v>
      </c>
      <c r="I53">
        <v>0</v>
      </c>
      <c r="J53" t="s">
        <v>848</v>
      </c>
    </row>
    <row r="54" spans="1:10" x14ac:dyDescent="0.3">
      <c r="A54" t="s">
        <v>93</v>
      </c>
      <c r="B54" s="14" t="s">
        <v>305</v>
      </c>
      <c r="C54">
        <v>5000000</v>
      </c>
      <c r="D54">
        <v>0</v>
      </c>
      <c r="E54">
        <v>0</v>
      </c>
      <c r="F54">
        <v>1</v>
      </c>
      <c r="G54">
        <v>1</v>
      </c>
      <c r="H54">
        <v>0</v>
      </c>
      <c r="I54">
        <v>0</v>
      </c>
      <c r="J54" t="s">
        <v>848</v>
      </c>
    </row>
    <row r="55" spans="1:10" x14ac:dyDescent="0.3">
      <c r="A55" t="s">
        <v>93</v>
      </c>
      <c r="B55" s="14" t="s">
        <v>503</v>
      </c>
      <c r="C55">
        <v>6100000</v>
      </c>
      <c r="D55">
        <v>0</v>
      </c>
      <c r="E55">
        <v>0</v>
      </c>
      <c r="F55">
        <v>0</v>
      </c>
      <c r="G55">
        <v>0</v>
      </c>
      <c r="H55">
        <v>0</v>
      </c>
      <c r="I55">
        <v>0</v>
      </c>
      <c r="J55" t="s">
        <v>848</v>
      </c>
    </row>
    <row r="56" spans="1:10" x14ac:dyDescent="0.3">
      <c r="A56" t="s">
        <v>93</v>
      </c>
      <c r="B56" s="14" t="s">
        <v>502</v>
      </c>
      <c r="C56">
        <v>6500000</v>
      </c>
      <c r="D56">
        <v>0</v>
      </c>
      <c r="E56">
        <v>0</v>
      </c>
      <c r="F56">
        <v>0</v>
      </c>
      <c r="G56">
        <v>0</v>
      </c>
      <c r="H56">
        <v>0</v>
      </c>
      <c r="I56">
        <v>0</v>
      </c>
      <c r="J56" t="s">
        <v>848</v>
      </c>
    </row>
    <row r="57" spans="1:10" x14ac:dyDescent="0.3">
      <c r="A57" t="s">
        <v>93</v>
      </c>
      <c r="B57" s="14" t="s">
        <v>864</v>
      </c>
      <c r="C57">
        <v>4800000</v>
      </c>
      <c r="D57">
        <v>0</v>
      </c>
      <c r="E57">
        <v>0</v>
      </c>
      <c r="F57">
        <v>0</v>
      </c>
      <c r="G57">
        <v>0</v>
      </c>
      <c r="H57">
        <v>0</v>
      </c>
      <c r="I57">
        <v>0</v>
      </c>
      <c r="J57" t="s">
        <v>848</v>
      </c>
    </row>
    <row r="58" spans="1:10" x14ac:dyDescent="0.3">
      <c r="A58" t="s">
        <v>93</v>
      </c>
      <c r="B58" s="14" t="s">
        <v>505</v>
      </c>
      <c r="C58">
        <v>5400000</v>
      </c>
      <c r="D58">
        <v>0</v>
      </c>
      <c r="E58">
        <v>0</v>
      </c>
      <c r="F58">
        <v>0</v>
      </c>
      <c r="G58">
        <v>0</v>
      </c>
      <c r="H58">
        <v>0</v>
      </c>
      <c r="I58">
        <v>0</v>
      </c>
      <c r="J58" t="s">
        <v>848</v>
      </c>
    </row>
    <row r="59" spans="1:10" x14ac:dyDescent="0.3">
      <c r="A59" t="s">
        <v>93</v>
      </c>
      <c r="B59" s="14" t="s">
        <v>506</v>
      </c>
      <c r="C59">
        <v>5750000</v>
      </c>
      <c r="D59">
        <v>0</v>
      </c>
      <c r="E59">
        <v>0</v>
      </c>
      <c r="F59">
        <v>0</v>
      </c>
      <c r="G59">
        <v>0</v>
      </c>
      <c r="H59">
        <v>0</v>
      </c>
      <c r="I59">
        <v>0</v>
      </c>
      <c r="J59" t="s">
        <v>848</v>
      </c>
    </row>
    <row r="60" spans="1:10" x14ac:dyDescent="0.3">
      <c r="A60" t="s">
        <v>93</v>
      </c>
      <c r="B60" s="14" t="s">
        <v>507</v>
      </c>
      <c r="C60">
        <v>6400000</v>
      </c>
      <c r="D60">
        <v>1</v>
      </c>
      <c r="E60">
        <v>0</v>
      </c>
      <c r="F60">
        <v>0</v>
      </c>
      <c r="G60">
        <v>0</v>
      </c>
      <c r="H60">
        <v>0</v>
      </c>
      <c r="I60">
        <v>0</v>
      </c>
      <c r="J60" t="s">
        <v>843</v>
      </c>
    </row>
    <row r="61" spans="1:10" x14ac:dyDescent="0.3">
      <c r="A61" t="s">
        <v>93</v>
      </c>
      <c r="B61" s="14" t="s">
        <v>865</v>
      </c>
      <c r="C61">
        <v>7200000</v>
      </c>
      <c r="D61">
        <v>0</v>
      </c>
      <c r="E61">
        <v>0</v>
      </c>
      <c r="F61">
        <v>0</v>
      </c>
      <c r="G61">
        <v>1</v>
      </c>
      <c r="H61">
        <v>0</v>
      </c>
      <c r="I61">
        <v>0</v>
      </c>
      <c r="J61" t="s">
        <v>848</v>
      </c>
    </row>
    <row r="62" spans="1:10" x14ac:dyDescent="0.3">
      <c r="A62" t="s">
        <v>93</v>
      </c>
      <c r="B62" s="14" t="s">
        <v>508</v>
      </c>
      <c r="C62">
        <v>7300000</v>
      </c>
      <c r="D62">
        <v>2</v>
      </c>
      <c r="E62">
        <v>0</v>
      </c>
      <c r="F62">
        <v>0</v>
      </c>
      <c r="G62">
        <v>0</v>
      </c>
      <c r="H62">
        <v>0</v>
      </c>
      <c r="I62">
        <v>0</v>
      </c>
      <c r="J62" t="s">
        <v>843</v>
      </c>
    </row>
    <row r="63" spans="1:10" x14ac:dyDescent="0.3">
      <c r="A63" t="s">
        <v>93</v>
      </c>
      <c r="B63" s="14" t="s">
        <v>509</v>
      </c>
      <c r="C63">
        <v>7600000</v>
      </c>
      <c r="D63">
        <v>1</v>
      </c>
      <c r="E63">
        <v>0</v>
      </c>
      <c r="F63">
        <v>0</v>
      </c>
      <c r="G63">
        <v>0</v>
      </c>
      <c r="H63">
        <v>0</v>
      </c>
      <c r="I63">
        <v>0</v>
      </c>
      <c r="J63" t="s">
        <v>843</v>
      </c>
    </row>
    <row r="64" spans="1:10" x14ac:dyDescent="0.3">
      <c r="A64" t="s">
        <v>93</v>
      </c>
      <c r="B64" s="14" t="s">
        <v>510</v>
      </c>
      <c r="C64">
        <v>6000000</v>
      </c>
      <c r="D64">
        <v>0</v>
      </c>
      <c r="E64">
        <v>0</v>
      </c>
      <c r="F64">
        <v>0</v>
      </c>
      <c r="G64">
        <v>0</v>
      </c>
      <c r="H64">
        <v>0</v>
      </c>
      <c r="I64">
        <v>0</v>
      </c>
      <c r="J64" t="s">
        <v>848</v>
      </c>
    </row>
    <row r="65" spans="1:10" x14ac:dyDescent="0.3">
      <c r="A65" t="s">
        <v>93</v>
      </c>
      <c r="B65" s="14" t="s">
        <v>866</v>
      </c>
      <c r="C65">
        <v>12200000</v>
      </c>
      <c r="D65">
        <v>0</v>
      </c>
      <c r="E65">
        <v>0</v>
      </c>
      <c r="F65">
        <v>0</v>
      </c>
      <c r="G65">
        <v>0</v>
      </c>
      <c r="H65">
        <v>0</v>
      </c>
      <c r="I65">
        <v>0</v>
      </c>
      <c r="J65" t="s">
        <v>848</v>
      </c>
    </row>
    <row r="66" spans="1:10" x14ac:dyDescent="0.3">
      <c r="A66" t="s">
        <v>93</v>
      </c>
      <c r="B66" s="14" t="s">
        <v>867</v>
      </c>
      <c r="C66">
        <v>10200000</v>
      </c>
      <c r="D66">
        <v>0</v>
      </c>
      <c r="E66">
        <v>1</v>
      </c>
      <c r="F66">
        <v>1</v>
      </c>
      <c r="G66">
        <v>1</v>
      </c>
      <c r="H66">
        <v>0</v>
      </c>
      <c r="I66">
        <v>0</v>
      </c>
      <c r="J66" t="s">
        <v>848</v>
      </c>
    </row>
    <row r="67" spans="1:10" x14ac:dyDescent="0.3">
      <c r="A67" t="s">
        <v>93</v>
      </c>
      <c r="B67" s="14" t="s">
        <v>867</v>
      </c>
      <c r="C67">
        <v>10600000</v>
      </c>
      <c r="D67">
        <v>0</v>
      </c>
      <c r="E67">
        <v>0</v>
      </c>
      <c r="F67">
        <v>0</v>
      </c>
      <c r="G67">
        <v>1</v>
      </c>
      <c r="H67">
        <v>0</v>
      </c>
      <c r="I67">
        <v>0</v>
      </c>
      <c r="J67" t="s">
        <v>848</v>
      </c>
    </row>
    <row r="68" spans="1:10" x14ac:dyDescent="0.3">
      <c r="A68" t="s">
        <v>93</v>
      </c>
      <c r="B68" s="14" t="s">
        <v>868</v>
      </c>
      <c r="C68">
        <v>11500000</v>
      </c>
      <c r="D68">
        <v>1</v>
      </c>
      <c r="E68">
        <v>0</v>
      </c>
      <c r="F68">
        <v>0</v>
      </c>
      <c r="G68">
        <v>0</v>
      </c>
      <c r="H68">
        <v>0</v>
      </c>
      <c r="I68">
        <v>0</v>
      </c>
      <c r="J68" t="s">
        <v>843</v>
      </c>
    </row>
    <row r="69" spans="1:10" x14ac:dyDescent="0.3">
      <c r="A69" t="s">
        <v>93</v>
      </c>
      <c r="B69" s="14" t="s">
        <v>869</v>
      </c>
      <c r="C69">
        <v>8400000</v>
      </c>
      <c r="D69">
        <v>2</v>
      </c>
      <c r="E69">
        <v>0</v>
      </c>
      <c r="F69">
        <v>0</v>
      </c>
      <c r="G69">
        <v>1</v>
      </c>
      <c r="H69">
        <v>0</v>
      </c>
      <c r="I69">
        <v>0</v>
      </c>
      <c r="J69" t="s">
        <v>843</v>
      </c>
    </row>
    <row r="70" spans="1:10" x14ac:dyDescent="0.3">
      <c r="A70" t="s">
        <v>93</v>
      </c>
      <c r="B70" s="14" t="s">
        <v>511</v>
      </c>
      <c r="C70">
        <v>8800000</v>
      </c>
      <c r="D70">
        <v>1</v>
      </c>
      <c r="E70">
        <v>0</v>
      </c>
      <c r="F70">
        <v>0</v>
      </c>
      <c r="G70">
        <v>0</v>
      </c>
      <c r="H70">
        <v>0</v>
      </c>
      <c r="I70">
        <v>0</v>
      </c>
      <c r="J70" t="s">
        <v>843</v>
      </c>
    </row>
    <row r="71" spans="1:10" x14ac:dyDescent="0.3">
      <c r="A71" t="s">
        <v>93</v>
      </c>
      <c r="B71" s="14" t="s">
        <v>870</v>
      </c>
      <c r="C71">
        <v>8600000</v>
      </c>
      <c r="D71">
        <v>2</v>
      </c>
      <c r="E71">
        <v>0</v>
      </c>
      <c r="F71">
        <v>2</v>
      </c>
      <c r="G71">
        <v>4</v>
      </c>
      <c r="H71">
        <v>0</v>
      </c>
      <c r="I71">
        <v>0</v>
      </c>
      <c r="J71" t="s">
        <v>843</v>
      </c>
    </row>
    <row r="72" spans="1:10" x14ac:dyDescent="0.3">
      <c r="A72" t="s">
        <v>93</v>
      </c>
      <c r="B72" s="14" t="s">
        <v>871</v>
      </c>
      <c r="C72">
        <v>7950000</v>
      </c>
      <c r="D72">
        <v>0</v>
      </c>
      <c r="E72">
        <v>0</v>
      </c>
      <c r="F72">
        <v>0</v>
      </c>
      <c r="G72">
        <v>1</v>
      </c>
      <c r="H72">
        <v>0</v>
      </c>
      <c r="I72">
        <v>0</v>
      </c>
      <c r="J72" t="s">
        <v>848</v>
      </c>
    </row>
    <row r="73" spans="1:10" x14ac:dyDescent="0.3">
      <c r="A73" t="s">
        <v>93</v>
      </c>
      <c r="B73" s="14" t="s">
        <v>400</v>
      </c>
      <c r="D73">
        <v>0</v>
      </c>
      <c r="E73">
        <v>0</v>
      </c>
      <c r="F73">
        <v>0</v>
      </c>
      <c r="G73">
        <v>0</v>
      </c>
      <c r="H73">
        <v>0</v>
      </c>
      <c r="I73">
        <v>0</v>
      </c>
      <c r="J73" t="s">
        <v>848</v>
      </c>
    </row>
    <row r="74" spans="1:10" x14ac:dyDescent="0.3">
      <c r="A74" t="s">
        <v>93</v>
      </c>
      <c r="B74" s="14" t="s">
        <v>512</v>
      </c>
      <c r="C74">
        <v>2700000</v>
      </c>
      <c r="D74">
        <v>0</v>
      </c>
      <c r="E74">
        <v>0</v>
      </c>
      <c r="F74">
        <v>0</v>
      </c>
      <c r="G74">
        <v>0</v>
      </c>
      <c r="H74">
        <v>0</v>
      </c>
      <c r="I74">
        <v>0</v>
      </c>
      <c r="J74" t="s">
        <v>848</v>
      </c>
    </row>
    <row r="75" spans="1:10" x14ac:dyDescent="0.3">
      <c r="A75" t="s">
        <v>93</v>
      </c>
      <c r="B75" s="14" t="s">
        <v>513</v>
      </c>
      <c r="C75">
        <v>2600000</v>
      </c>
      <c r="D75">
        <v>0</v>
      </c>
      <c r="E75">
        <v>0</v>
      </c>
      <c r="F75">
        <v>0</v>
      </c>
      <c r="G75">
        <v>0</v>
      </c>
      <c r="H75">
        <v>0</v>
      </c>
      <c r="I75">
        <v>0</v>
      </c>
      <c r="J75" t="s">
        <v>848</v>
      </c>
    </row>
    <row r="76" spans="1:10" x14ac:dyDescent="0.3">
      <c r="A76" t="s">
        <v>93</v>
      </c>
      <c r="B76" s="14" t="s">
        <v>514</v>
      </c>
      <c r="C76">
        <v>2800000</v>
      </c>
      <c r="D76">
        <v>0</v>
      </c>
      <c r="E76">
        <v>0</v>
      </c>
      <c r="F76">
        <v>0</v>
      </c>
      <c r="G76">
        <v>0</v>
      </c>
      <c r="H76">
        <v>0</v>
      </c>
      <c r="I76">
        <v>0</v>
      </c>
      <c r="J76" t="s">
        <v>848</v>
      </c>
    </row>
    <row r="77" spans="1:10" x14ac:dyDescent="0.3">
      <c r="A77" t="s">
        <v>93</v>
      </c>
      <c r="B77" s="14" t="s">
        <v>872</v>
      </c>
      <c r="C77">
        <v>13900000</v>
      </c>
      <c r="D77">
        <v>1</v>
      </c>
      <c r="E77">
        <v>0</v>
      </c>
      <c r="F77">
        <v>0</v>
      </c>
      <c r="G77">
        <v>0</v>
      </c>
      <c r="H77">
        <v>0</v>
      </c>
      <c r="I77">
        <v>0</v>
      </c>
      <c r="J77" t="s">
        <v>843</v>
      </c>
    </row>
    <row r="78" spans="1:10" x14ac:dyDescent="0.3">
      <c r="A78" t="s">
        <v>93</v>
      </c>
      <c r="B78" s="14" t="s">
        <v>516</v>
      </c>
      <c r="C78">
        <v>10900000</v>
      </c>
      <c r="D78">
        <v>0</v>
      </c>
      <c r="E78">
        <v>0</v>
      </c>
      <c r="F78">
        <v>0</v>
      </c>
      <c r="G78">
        <v>0</v>
      </c>
      <c r="H78">
        <v>0</v>
      </c>
      <c r="I78">
        <v>0</v>
      </c>
      <c r="J78" t="s">
        <v>848</v>
      </c>
    </row>
    <row r="79" spans="1:10" x14ac:dyDescent="0.3">
      <c r="A79" t="s">
        <v>93</v>
      </c>
      <c r="B79" s="14" t="s">
        <v>517</v>
      </c>
      <c r="C79">
        <v>12000000</v>
      </c>
      <c r="D79">
        <v>0</v>
      </c>
      <c r="E79">
        <v>0</v>
      </c>
      <c r="F79">
        <v>0</v>
      </c>
      <c r="G79">
        <v>0</v>
      </c>
      <c r="H79">
        <v>0</v>
      </c>
      <c r="I79">
        <v>0</v>
      </c>
      <c r="J79" t="s">
        <v>848</v>
      </c>
    </row>
    <row r="80" spans="1:10" x14ac:dyDescent="0.3">
      <c r="A80" t="s">
        <v>93</v>
      </c>
      <c r="B80" s="14" t="s">
        <v>518</v>
      </c>
      <c r="C80">
        <v>10000000</v>
      </c>
      <c r="D80">
        <v>0</v>
      </c>
      <c r="E80">
        <v>0</v>
      </c>
      <c r="F80">
        <v>0</v>
      </c>
      <c r="G80">
        <v>0</v>
      </c>
      <c r="H80">
        <v>0</v>
      </c>
      <c r="I80">
        <v>0</v>
      </c>
      <c r="J80" t="s">
        <v>848</v>
      </c>
    </row>
    <row r="81" spans="1:10" x14ac:dyDescent="0.3">
      <c r="A81" t="s">
        <v>93</v>
      </c>
      <c r="B81" s="14" t="s">
        <v>804</v>
      </c>
      <c r="D81">
        <v>1</v>
      </c>
      <c r="E81">
        <v>0</v>
      </c>
      <c r="F81">
        <v>0</v>
      </c>
      <c r="G81">
        <v>0</v>
      </c>
      <c r="H81">
        <v>0</v>
      </c>
      <c r="I81">
        <v>0</v>
      </c>
      <c r="J81" t="s">
        <v>843</v>
      </c>
    </row>
    <row r="82" spans="1:10" x14ac:dyDescent="0.3">
      <c r="A82" t="s">
        <v>93</v>
      </c>
      <c r="B82" s="14" t="s">
        <v>873</v>
      </c>
      <c r="C82">
        <v>14000000</v>
      </c>
      <c r="D82">
        <v>0</v>
      </c>
      <c r="E82">
        <v>0</v>
      </c>
      <c r="F82">
        <v>0</v>
      </c>
      <c r="G82">
        <v>0</v>
      </c>
      <c r="H82">
        <v>0</v>
      </c>
      <c r="I82">
        <v>0</v>
      </c>
      <c r="J82" t="s">
        <v>848</v>
      </c>
    </row>
    <row r="83" spans="1:10" x14ac:dyDescent="0.3">
      <c r="A83" t="s">
        <v>93</v>
      </c>
      <c r="B83" s="14" t="s">
        <v>874</v>
      </c>
      <c r="C83">
        <v>14500000</v>
      </c>
      <c r="D83">
        <v>0</v>
      </c>
      <c r="E83">
        <v>0</v>
      </c>
      <c r="F83">
        <v>0</v>
      </c>
      <c r="G83">
        <v>0</v>
      </c>
      <c r="H83">
        <v>0</v>
      </c>
      <c r="I83">
        <v>0</v>
      </c>
      <c r="J83" t="s">
        <v>848</v>
      </c>
    </row>
    <row r="84" spans="1:10" x14ac:dyDescent="0.3">
      <c r="A84" t="s">
        <v>93</v>
      </c>
      <c r="B84" s="14" t="s">
        <v>875</v>
      </c>
      <c r="C84">
        <v>10100000</v>
      </c>
      <c r="D84">
        <v>0</v>
      </c>
      <c r="E84">
        <v>0</v>
      </c>
      <c r="F84">
        <v>0</v>
      </c>
      <c r="G84">
        <v>0</v>
      </c>
      <c r="H84">
        <v>0</v>
      </c>
      <c r="I84">
        <v>0</v>
      </c>
      <c r="J84" t="s">
        <v>848</v>
      </c>
    </row>
    <row r="85" spans="1:10" x14ac:dyDescent="0.3">
      <c r="A85" t="s">
        <v>93</v>
      </c>
      <c r="B85" s="14" t="s">
        <v>876</v>
      </c>
      <c r="C85">
        <v>20500000</v>
      </c>
      <c r="D85">
        <v>1</v>
      </c>
      <c r="E85">
        <v>0</v>
      </c>
      <c r="F85">
        <v>0</v>
      </c>
      <c r="G85">
        <v>0</v>
      </c>
      <c r="H85">
        <v>0</v>
      </c>
      <c r="I85">
        <v>0</v>
      </c>
      <c r="J85" t="s">
        <v>843</v>
      </c>
    </row>
    <row r="86" spans="1:10" x14ac:dyDescent="0.3">
      <c r="A86" t="s">
        <v>93</v>
      </c>
      <c r="B86" s="14" t="s">
        <v>877</v>
      </c>
      <c r="C86">
        <v>21000000</v>
      </c>
      <c r="D86">
        <v>2</v>
      </c>
      <c r="E86">
        <v>0</v>
      </c>
      <c r="F86">
        <v>0</v>
      </c>
      <c r="G86">
        <v>0</v>
      </c>
      <c r="H86">
        <v>0</v>
      </c>
      <c r="I86">
        <v>0</v>
      </c>
      <c r="J86" t="s">
        <v>843</v>
      </c>
    </row>
    <row r="87" spans="1:10" x14ac:dyDescent="0.3">
      <c r="A87" t="s">
        <v>93</v>
      </c>
      <c r="B87" s="14" t="s">
        <v>878</v>
      </c>
      <c r="C87">
        <v>20000000</v>
      </c>
      <c r="D87">
        <v>1</v>
      </c>
      <c r="E87">
        <v>0</v>
      </c>
      <c r="F87">
        <v>0</v>
      </c>
      <c r="G87">
        <v>0</v>
      </c>
      <c r="H87">
        <v>0</v>
      </c>
      <c r="I87">
        <v>0</v>
      </c>
      <c r="J87" t="s">
        <v>843</v>
      </c>
    </row>
    <row r="88" spans="1:10" x14ac:dyDescent="0.3">
      <c r="A88" t="s">
        <v>93</v>
      </c>
      <c r="B88" s="14" t="s">
        <v>879</v>
      </c>
      <c r="C88">
        <v>19900000</v>
      </c>
      <c r="D88">
        <v>1</v>
      </c>
      <c r="E88">
        <v>0</v>
      </c>
      <c r="F88">
        <v>0</v>
      </c>
      <c r="G88">
        <v>0</v>
      </c>
      <c r="H88">
        <v>0</v>
      </c>
      <c r="I88">
        <v>0</v>
      </c>
      <c r="J88" t="s">
        <v>843</v>
      </c>
    </row>
    <row r="89" spans="1:10" x14ac:dyDescent="0.3">
      <c r="A89" t="s">
        <v>93</v>
      </c>
      <c r="B89" s="14" t="s">
        <v>880</v>
      </c>
      <c r="C89">
        <v>15900000</v>
      </c>
      <c r="D89">
        <v>3</v>
      </c>
      <c r="E89">
        <v>0</v>
      </c>
      <c r="F89">
        <v>0</v>
      </c>
      <c r="G89">
        <v>3</v>
      </c>
      <c r="H89">
        <v>0</v>
      </c>
      <c r="I89">
        <v>0</v>
      </c>
      <c r="J89" t="s">
        <v>843</v>
      </c>
    </row>
    <row r="90" spans="1:10" x14ac:dyDescent="0.3">
      <c r="A90" t="s">
        <v>93</v>
      </c>
      <c r="B90" s="14" t="s">
        <v>881</v>
      </c>
      <c r="C90">
        <v>17500000</v>
      </c>
      <c r="D90">
        <v>0</v>
      </c>
      <c r="E90">
        <v>0</v>
      </c>
      <c r="F90">
        <v>0</v>
      </c>
      <c r="G90">
        <v>0</v>
      </c>
      <c r="H90">
        <v>0</v>
      </c>
      <c r="I90">
        <v>0</v>
      </c>
      <c r="J90" t="s">
        <v>848</v>
      </c>
    </row>
    <row r="91" spans="1:10" x14ac:dyDescent="0.3">
      <c r="A91" t="s">
        <v>93</v>
      </c>
      <c r="B91" s="14" t="s">
        <v>882</v>
      </c>
      <c r="C91">
        <v>16500000</v>
      </c>
      <c r="D91">
        <v>1</v>
      </c>
      <c r="E91">
        <v>0</v>
      </c>
      <c r="F91">
        <v>0</v>
      </c>
      <c r="G91">
        <v>0</v>
      </c>
      <c r="H91">
        <v>0</v>
      </c>
      <c r="I91">
        <v>0</v>
      </c>
      <c r="J91" t="s">
        <v>843</v>
      </c>
    </row>
    <row r="92" spans="1:10" x14ac:dyDescent="0.3">
      <c r="A92" t="s">
        <v>93</v>
      </c>
      <c r="B92" s="14" t="s">
        <v>883</v>
      </c>
      <c r="C92">
        <v>17000000</v>
      </c>
      <c r="D92">
        <v>0</v>
      </c>
      <c r="E92">
        <v>0</v>
      </c>
      <c r="F92">
        <v>0</v>
      </c>
      <c r="G92">
        <v>0</v>
      </c>
      <c r="H92">
        <v>0</v>
      </c>
      <c r="I92">
        <v>0</v>
      </c>
      <c r="J92" t="s">
        <v>848</v>
      </c>
    </row>
    <row r="93" spans="1:10" x14ac:dyDescent="0.3">
      <c r="A93" t="s">
        <v>93</v>
      </c>
      <c r="B93" s="14" t="s">
        <v>884</v>
      </c>
      <c r="C93">
        <v>17500000</v>
      </c>
      <c r="D93">
        <v>0</v>
      </c>
      <c r="E93">
        <v>0</v>
      </c>
      <c r="F93">
        <v>0</v>
      </c>
      <c r="G93">
        <v>0</v>
      </c>
      <c r="H93">
        <v>0</v>
      </c>
      <c r="I93">
        <v>0</v>
      </c>
      <c r="J93" t="s">
        <v>848</v>
      </c>
    </row>
    <row r="94" spans="1:10" x14ac:dyDescent="0.3">
      <c r="A94" t="s">
        <v>93</v>
      </c>
      <c r="B94" s="14" t="s">
        <v>885</v>
      </c>
      <c r="C94">
        <v>17000000</v>
      </c>
      <c r="D94">
        <v>2</v>
      </c>
      <c r="E94">
        <v>0</v>
      </c>
      <c r="F94">
        <v>0</v>
      </c>
      <c r="G94">
        <v>0</v>
      </c>
      <c r="H94">
        <v>0</v>
      </c>
      <c r="I94">
        <v>0</v>
      </c>
      <c r="J94" t="s">
        <v>843</v>
      </c>
    </row>
    <row r="95" spans="1:10" x14ac:dyDescent="0.3">
      <c r="A95" t="s">
        <v>93</v>
      </c>
      <c r="B95" s="14" t="s">
        <v>886</v>
      </c>
      <c r="C95">
        <v>25500000</v>
      </c>
      <c r="D95">
        <v>2</v>
      </c>
      <c r="E95">
        <v>0</v>
      </c>
      <c r="F95">
        <v>0</v>
      </c>
      <c r="G95">
        <v>0</v>
      </c>
      <c r="H95">
        <v>0</v>
      </c>
      <c r="I95">
        <v>0</v>
      </c>
      <c r="J95" t="s">
        <v>843</v>
      </c>
    </row>
    <row r="96" spans="1:10" x14ac:dyDescent="0.3">
      <c r="A96" t="s">
        <v>93</v>
      </c>
      <c r="B96" s="14" t="s">
        <v>887</v>
      </c>
      <c r="C96">
        <v>20000000</v>
      </c>
      <c r="D96">
        <v>1</v>
      </c>
      <c r="E96">
        <v>0</v>
      </c>
      <c r="F96">
        <v>0</v>
      </c>
      <c r="G96">
        <v>0</v>
      </c>
      <c r="H96">
        <v>0</v>
      </c>
      <c r="I96">
        <v>0</v>
      </c>
      <c r="J96" t="s">
        <v>843</v>
      </c>
    </row>
    <row r="97" spans="1:10" x14ac:dyDescent="0.3">
      <c r="A97" t="s">
        <v>93</v>
      </c>
      <c r="B97" s="14" t="s">
        <v>888</v>
      </c>
      <c r="C97">
        <v>21000000</v>
      </c>
      <c r="D97">
        <v>0</v>
      </c>
      <c r="E97">
        <v>0</v>
      </c>
      <c r="F97">
        <v>0</v>
      </c>
      <c r="G97">
        <v>0</v>
      </c>
      <c r="H97">
        <v>0</v>
      </c>
      <c r="I97">
        <v>0</v>
      </c>
      <c r="J97" t="s">
        <v>848</v>
      </c>
    </row>
    <row r="98" spans="1:10" x14ac:dyDescent="0.3">
      <c r="A98" t="s">
        <v>93</v>
      </c>
      <c r="B98" s="14" t="s">
        <v>889</v>
      </c>
      <c r="C98">
        <v>8500000</v>
      </c>
      <c r="D98">
        <v>1</v>
      </c>
      <c r="E98">
        <v>0</v>
      </c>
      <c r="F98">
        <v>0</v>
      </c>
      <c r="G98">
        <v>0</v>
      </c>
      <c r="H98">
        <v>0</v>
      </c>
      <c r="I98">
        <v>0</v>
      </c>
      <c r="J98" t="s">
        <v>843</v>
      </c>
    </row>
    <row r="99" spans="1:10" x14ac:dyDescent="0.3">
      <c r="A99" t="s">
        <v>93</v>
      </c>
      <c r="B99" s="14" t="s">
        <v>890</v>
      </c>
      <c r="C99">
        <v>10000000</v>
      </c>
      <c r="D99">
        <v>0</v>
      </c>
      <c r="E99">
        <v>0</v>
      </c>
      <c r="F99">
        <v>1</v>
      </c>
      <c r="G99">
        <v>1</v>
      </c>
      <c r="H99">
        <v>0</v>
      </c>
      <c r="I99">
        <v>0</v>
      </c>
      <c r="J99" t="s">
        <v>848</v>
      </c>
    </row>
    <row r="100" spans="1:10" x14ac:dyDescent="0.3">
      <c r="A100" t="s">
        <v>93</v>
      </c>
      <c r="B100" s="14" t="s">
        <v>890</v>
      </c>
      <c r="C100">
        <v>8500000</v>
      </c>
      <c r="D100">
        <v>1</v>
      </c>
      <c r="E100">
        <v>0</v>
      </c>
      <c r="F100">
        <v>0</v>
      </c>
      <c r="G100">
        <v>0</v>
      </c>
      <c r="H100">
        <v>0</v>
      </c>
      <c r="I100">
        <v>0</v>
      </c>
      <c r="J100" t="s">
        <v>843</v>
      </c>
    </row>
    <row r="101" spans="1:10" x14ac:dyDescent="0.3">
      <c r="A101" t="s">
        <v>93</v>
      </c>
      <c r="B101" s="14" t="s">
        <v>891</v>
      </c>
      <c r="C101">
        <v>9500000</v>
      </c>
      <c r="D101">
        <v>1</v>
      </c>
      <c r="E101">
        <v>0</v>
      </c>
      <c r="F101">
        <v>0</v>
      </c>
      <c r="G101">
        <v>0</v>
      </c>
      <c r="H101">
        <v>0</v>
      </c>
      <c r="I101">
        <v>0</v>
      </c>
      <c r="J101" t="s">
        <v>843</v>
      </c>
    </row>
    <row r="102" spans="1:10" x14ac:dyDescent="0.3">
      <c r="A102" t="s">
        <v>10</v>
      </c>
      <c r="B102" s="14" t="s">
        <v>315</v>
      </c>
      <c r="C102">
        <v>17100000</v>
      </c>
      <c r="D102">
        <v>6</v>
      </c>
      <c r="E102">
        <v>0</v>
      </c>
      <c r="F102">
        <v>1</v>
      </c>
      <c r="G102">
        <v>1</v>
      </c>
      <c r="H102">
        <v>0</v>
      </c>
      <c r="I102">
        <v>7</v>
      </c>
      <c r="J102" t="s">
        <v>843</v>
      </c>
    </row>
    <row r="103" spans="1:10" x14ac:dyDescent="0.3">
      <c r="A103" t="s">
        <v>10</v>
      </c>
      <c r="B103" s="14" t="s">
        <v>530</v>
      </c>
      <c r="C103">
        <v>17100000</v>
      </c>
      <c r="D103">
        <v>4</v>
      </c>
      <c r="E103">
        <v>0</v>
      </c>
      <c r="F103">
        <v>0</v>
      </c>
      <c r="G103">
        <v>0</v>
      </c>
      <c r="H103">
        <v>0</v>
      </c>
      <c r="I103">
        <v>4</v>
      </c>
      <c r="J103" t="s">
        <v>843</v>
      </c>
    </row>
    <row r="104" spans="1:10" x14ac:dyDescent="0.3">
      <c r="A104" t="s">
        <v>10</v>
      </c>
      <c r="B104" s="14" t="s">
        <v>892</v>
      </c>
      <c r="C104">
        <v>14000000</v>
      </c>
      <c r="D104">
        <v>1</v>
      </c>
      <c r="E104">
        <v>0</v>
      </c>
      <c r="F104">
        <v>0</v>
      </c>
      <c r="G104">
        <v>0</v>
      </c>
      <c r="H104">
        <v>0</v>
      </c>
      <c r="I104">
        <v>0</v>
      </c>
      <c r="J104" t="s">
        <v>843</v>
      </c>
    </row>
    <row r="105" spans="1:10" x14ac:dyDescent="0.3">
      <c r="A105" t="s">
        <v>10</v>
      </c>
      <c r="B105" s="14" t="s">
        <v>532</v>
      </c>
      <c r="D105">
        <v>1</v>
      </c>
      <c r="E105">
        <v>0</v>
      </c>
      <c r="F105">
        <v>0</v>
      </c>
      <c r="G105">
        <v>0</v>
      </c>
      <c r="H105">
        <v>0</v>
      </c>
      <c r="I105">
        <v>0</v>
      </c>
      <c r="J105" t="s">
        <v>843</v>
      </c>
    </row>
    <row r="106" spans="1:10" x14ac:dyDescent="0.3">
      <c r="A106" t="s">
        <v>10</v>
      </c>
      <c r="B106" s="14" t="s">
        <v>533</v>
      </c>
      <c r="C106">
        <v>25300000</v>
      </c>
      <c r="D106">
        <v>0</v>
      </c>
      <c r="E106">
        <v>0</v>
      </c>
      <c r="F106">
        <v>0</v>
      </c>
      <c r="G106">
        <v>0</v>
      </c>
      <c r="H106">
        <v>0</v>
      </c>
      <c r="I106">
        <v>0</v>
      </c>
      <c r="J106" t="s">
        <v>848</v>
      </c>
    </row>
    <row r="107" spans="1:10" x14ac:dyDescent="0.3">
      <c r="A107" t="s">
        <v>10</v>
      </c>
      <c r="B107" s="14" t="s">
        <v>316</v>
      </c>
      <c r="C107">
        <v>22000000</v>
      </c>
      <c r="D107">
        <v>0</v>
      </c>
      <c r="E107">
        <v>0</v>
      </c>
      <c r="F107">
        <v>0</v>
      </c>
      <c r="G107">
        <v>0</v>
      </c>
      <c r="H107">
        <v>0</v>
      </c>
      <c r="I107">
        <v>0</v>
      </c>
      <c r="J107" t="s">
        <v>848</v>
      </c>
    </row>
    <row r="108" spans="1:10" x14ac:dyDescent="0.3">
      <c r="A108" t="s">
        <v>10</v>
      </c>
      <c r="B108" s="14" t="s">
        <v>534</v>
      </c>
      <c r="C108">
        <v>2000000</v>
      </c>
      <c r="D108">
        <v>1</v>
      </c>
      <c r="E108">
        <v>0</v>
      </c>
      <c r="F108">
        <v>0</v>
      </c>
      <c r="G108">
        <v>0</v>
      </c>
      <c r="H108">
        <v>0</v>
      </c>
      <c r="I108">
        <v>0</v>
      </c>
      <c r="J108" t="s">
        <v>843</v>
      </c>
    </row>
    <row r="109" spans="1:10" x14ac:dyDescent="0.3">
      <c r="A109" t="s">
        <v>10</v>
      </c>
      <c r="B109" s="14" t="s">
        <v>535</v>
      </c>
      <c r="C109">
        <v>1800000</v>
      </c>
      <c r="D109">
        <v>0</v>
      </c>
      <c r="E109">
        <v>0</v>
      </c>
      <c r="F109">
        <v>0</v>
      </c>
      <c r="G109">
        <v>0</v>
      </c>
      <c r="H109">
        <v>0</v>
      </c>
      <c r="I109">
        <v>0</v>
      </c>
      <c r="J109" t="s">
        <v>848</v>
      </c>
    </row>
    <row r="110" spans="1:10" x14ac:dyDescent="0.3">
      <c r="A110" t="s">
        <v>10</v>
      </c>
      <c r="B110" s="14" t="s">
        <v>893</v>
      </c>
      <c r="C110">
        <v>1700000</v>
      </c>
      <c r="D110">
        <v>11</v>
      </c>
      <c r="E110">
        <v>0</v>
      </c>
      <c r="F110">
        <v>0</v>
      </c>
      <c r="G110">
        <v>0</v>
      </c>
      <c r="H110">
        <v>0</v>
      </c>
      <c r="I110">
        <v>0</v>
      </c>
      <c r="J110" t="s">
        <v>843</v>
      </c>
    </row>
    <row r="111" spans="1:10" x14ac:dyDescent="0.3">
      <c r="A111" t="s">
        <v>10</v>
      </c>
      <c r="B111" s="14" t="s">
        <v>894</v>
      </c>
      <c r="C111">
        <v>2200000</v>
      </c>
      <c r="D111">
        <v>15</v>
      </c>
      <c r="E111">
        <v>0</v>
      </c>
      <c r="F111">
        <v>0</v>
      </c>
      <c r="G111">
        <v>0</v>
      </c>
      <c r="H111">
        <v>0</v>
      </c>
      <c r="I111">
        <v>0</v>
      </c>
      <c r="J111" t="s">
        <v>843</v>
      </c>
    </row>
    <row r="112" spans="1:10" x14ac:dyDescent="0.3">
      <c r="A112" t="s">
        <v>10</v>
      </c>
      <c r="B112" s="14" t="s">
        <v>895</v>
      </c>
      <c r="C112">
        <v>2200000</v>
      </c>
      <c r="D112">
        <v>1</v>
      </c>
      <c r="E112">
        <v>0</v>
      </c>
      <c r="F112">
        <v>0</v>
      </c>
      <c r="G112">
        <v>0</v>
      </c>
      <c r="H112">
        <v>0</v>
      </c>
      <c r="I112">
        <v>0</v>
      </c>
      <c r="J112" t="s">
        <v>843</v>
      </c>
    </row>
    <row r="113" spans="1:10" x14ac:dyDescent="0.3">
      <c r="A113" t="s">
        <v>10</v>
      </c>
      <c r="B113" s="14" t="s">
        <v>539</v>
      </c>
      <c r="C113">
        <v>5499000</v>
      </c>
      <c r="D113">
        <v>0</v>
      </c>
      <c r="E113">
        <v>0</v>
      </c>
      <c r="F113">
        <v>0</v>
      </c>
      <c r="G113">
        <v>0</v>
      </c>
      <c r="H113">
        <v>0</v>
      </c>
      <c r="I113">
        <v>0</v>
      </c>
      <c r="J113" t="s">
        <v>848</v>
      </c>
    </row>
    <row r="114" spans="1:10" x14ac:dyDescent="0.3">
      <c r="A114" t="s">
        <v>10</v>
      </c>
      <c r="B114" s="14" t="s">
        <v>540</v>
      </c>
      <c r="C114">
        <v>1500000</v>
      </c>
      <c r="D114">
        <v>2</v>
      </c>
      <c r="E114">
        <v>0</v>
      </c>
      <c r="F114">
        <v>0</v>
      </c>
      <c r="G114">
        <v>0</v>
      </c>
      <c r="H114">
        <v>0</v>
      </c>
      <c r="I114">
        <v>0</v>
      </c>
      <c r="J114" t="s">
        <v>843</v>
      </c>
    </row>
    <row r="115" spans="1:10" x14ac:dyDescent="0.3">
      <c r="A115" t="s">
        <v>10</v>
      </c>
      <c r="B115" s="14" t="s">
        <v>541</v>
      </c>
      <c r="C115">
        <v>6799000</v>
      </c>
      <c r="D115">
        <v>1</v>
      </c>
      <c r="E115">
        <v>0</v>
      </c>
      <c r="F115">
        <v>0</v>
      </c>
      <c r="G115">
        <v>0</v>
      </c>
      <c r="H115">
        <v>0</v>
      </c>
      <c r="I115">
        <v>0</v>
      </c>
      <c r="J115" t="s">
        <v>843</v>
      </c>
    </row>
    <row r="116" spans="1:10" x14ac:dyDescent="0.3">
      <c r="A116" t="s">
        <v>10</v>
      </c>
      <c r="B116" s="14" t="s">
        <v>542</v>
      </c>
      <c r="C116">
        <v>2000000</v>
      </c>
      <c r="D116">
        <v>8</v>
      </c>
      <c r="E116">
        <v>0</v>
      </c>
      <c r="F116">
        <v>0</v>
      </c>
      <c r="G116">
        <v>0</v>
      </c>
      <c r="H116">
        <v>0</v>
      </c>
      <c r="I116">
        <v>0</v>
      </c>
      <c r="J116" t="s">
        <v>843</v>
      </c>
    </row>
    <row r="117" spans="1:10" x14ac:dyDescent="0.3">
      <c r="A117" t="s">
        <v>10</v>
      </c>
      <c r="B117" s="14" t="s">
        <v>543</v>
      </c>
      <c r="C117">
        <v>1800000</v>
      </c>
      <c r="D117">
        <v>0</v>
      </c>
      <c r="E117">
        <v>0</v>
      </c>
      <c r="F117">
        <v>0</v>
      </c>
      <c r="G117">
        <v>0</v>
      </c>
      <c r="H117">
        <v>0</v>
      </c>
      <c r="I117">
        <v>0</v>
      </c>
      <c r="J117" t="s">
        <v>848</v>
      </c>
    </row>
    <row r="118" spans="1:10" x14ac:dyDescent="0.3">
      <c r="A118" t="s">
        <v>10</v>
      </c>
      <c r="B118" s="14" t="s">
        <v>419</v>
      </c>
      <c r="D118">
        <v>0</v>
      </c>
      <c r="E118">
        <v>0</v>
      </c>
      <c r="F118">
        <v>0</v>
      </c>
      <c r="G118">
        <v>-1</v>
      </c>
      <c r="H118">
        <v>0</v>
      </c>
      <c r="I118">
        <v>0</v>
      </c>
      <c r="J118" t="s">
        <v>848</v>
      </c>
    </row>
    <row r="119" spans="1:10" x14ac:dyDescent="0.3">
      <c r="A119" t="s">
        <v>10</v>
      </c>
      <c r="B119" s="14" t="s">
        <v>896</v>
      </c>
      <c r="C119">
        <v>2500000</v>
      </c>
      <c r="D119">
        <v>3</v>
      </c>
      <c r="E119">
        <v>0</v>
      </c>
      <c r="F119">
        <v>0</v>
      </c>
      <c r="G119">
        <v>0</v>
      </c>
      <c r="H119">
        <v>0</v>
      </c>
      <c r="I119">
        <v>0</v>
      </c>
      <c r="J119" t="s">
        <v>843</v>
      </c>
    </row>
    <row r="120" spans="1:10" x14ac:dyDescent="0.3">
      <c r="A120" t="s">
        <v>10</v>
      </c>
      <c r="B120" s="14" t="s">
        <v>545</v>
      </c>
      <c r="C120">
        <v>9499000</v>
      </c>
      <c r="D120">
        <v>0</v>
      </c>
      <c r="E120">
        <v>0</v>
      </c>
      <c r="F120">
        <v>0</v>
      </c>
      <c r="G120">
        <v>0</v>
      </c>
      <c r="H120">
        <v>0</v>
      </c>
      <c r="I120">
        <v>0</v>
      </c>
      <c r="J120" t="s">
        <v>848</v>
      </c>
    </row>
    <row r="121" spans="1:10" x14ac:dyDescent="0.3">
      <c r="A121" t="s">
        <v>10</v>
      </c>
      <c r="B121" s="14" t="s">
        <v>546</v>
      </c>
      <c r="C121">
        <v>2200000</v>
      </c>
      <c r="D121">
        <v>0</v>
      </c>
      <c r="E121">
        <v>0</v>
      </c>
      <c r="F121">
        <v>0</v>
      </c>
      <c r="G121">
        <v>0</v>
      </c>
      <c r="H121">
        <v>0</v>
      </c>
      <c r="I121">
        <v>0</v>
      </c>
      <c r="J121" t="s">
        <v>848</v>
      </c>
    </row>
    <row r="122" spans="1:10" x14ac:dyDescent="0.3">
      <c r="A122" t="s">
        <v>10</v>
      </c>
      <c r="B122" s="14" t="s">
        <v>547</v>
      </c>
      <c r="C122">
        <v>2500000</v>
      </c>
      <c r="D122">
        <v>1</v>
      </c>
      <c r="E122">
        <v>0</v>
      </c>
      <c r="F122">
        <v>0</v>
      </c>
      <c r="G122">
        <v>0</v>
      </c>
      <c r="H122">
        <v>0</v>
      </c>
      <c r="I122">
        <v>0</v>
      </c>
      <c r="J122" t="s">
        <v>843</v>
      </c>
    </row>
    <row r="123" spans="1:10" x14ac:dyDescent="0.3">
      <c r="A123" t="s">
        <v>10</v>
      </c>
      <c r="B123" s="14" t="s">
        <v>897</v>
      </c>
      <c r="C123">
        <v>3900000</v>
      </c>
      <c r="D123">
        <v>0</v>
      </c>
      <c r="E123">
        <v>0</v>
      </c>
      <c r="F123">
        <v>0</v>
      </c>
      <c r="G123">
        <v>0</v>
      </c>
      <c r="H123">
        <v>0</v>
      </c>
      <c r="I123">
        <v>0</v>
      </c>
      <c r="J123" t="s">
        <v>848</v>
      </c>
    </row>
    <row r="124" spans="1:10" x14ac:dyDescent="0.3">
      <c r="A124" t="s">
        <v>10</v>
      </c>
      <c r="B124" s="14" t="s">
        <v>897</v>
      </c>
      <c r="C124">
        <v>2400000</v>
      </c>
      <c r="D124">
        <v>0</v>
      </c>
      <c r="E124">
        <v>0</v>
      </c>
      <c r="F124">
        <v>0</v>
      </c>
      <c r="G124">
        <v>0</v>
      </c>
      <c r="H124">
        <v>0</v>
      </c>
      <c r="I124">
        <v>0</v>
      </c>
      <c r="J124" t="s">
        <v>848</v>
      </c>
    </row>
    <row r="125" spans="1:10" x14ac:dyDescent="0.3">
      <c r="A125" t="s">
        <v>10</v>
      </c>
      <c r="B125" s="14" t="s">
        <v>897</v>
      </c>
      <c r="C125">
        <v>2100000</v>
      </c>
      <c r="D125">
        <v>1</v>
      </c>
      <c r="E125">
        <v>0</v>
      </c>
      <c r="F125">
        <v>0</v>
      </c>
      <c r="G125">
        <v>0</v>
      </c>
      <c r="H125">
        <v>0</v>
      </c>
      <c r="I125">
        <v>0</v>
      </c>
      <c r="J125" t="s">
        <v>843</v>
      </c>
    </row>
    <row r="126" spans="1:10" x14ac:dyDescent="0.3">
      <c r="A126" t="s">
        <v>10</v>
      </c>
      <c r="B126" s="14" t="s">
        <v>318</v>
      </c>
      <c r="C126">
        <v>2600000</v>
      </c>
      <c r="D126">
        <v>0</v>
      </c>
      <c r="E126">
        <v>0</v>
      </c>
      <c r="F126">
        <v>0</v>
      </c>
      <c r="G126">
        <v>1</v>
      </c>
      <c r="H126">
        <v>0</v>
      </c>
      <c r="I126">
        <v>0</v>
      </c>
      <c r="J126" t="s">
        <v>848</v>
      </c>
    </row>
    <row r="127" spans="1:10" x14ac:dyDescent="0.3">
      <c r="A127" t="s">
        <v>10</v>
      </c>
      <c r="B127" s="14" t="s">
        <v>317</v>
      </c>
      <c r="C127">
        <v>2900000</v>
      </c>
      <c r="D127">
        <v>2</v>
      </c>
      <c r="E127">
        <v>0</v>
      </c>
      <c r="F127">
        <v>0</v>
      </c>
      <c r="G127">
        <v>0</v>
      </c>
      <c r="H127">
        <v>0</v>
      </c>
      <c r="I127">
        <v>0</v>
      </c>
      <c r="J127" t="s">
        <v>843</v>
      </c>
    </row>
    <row r="128" spans="1:10" x14ac:dyDescent="0.3">
      <c r="A128" t="s">
        <v>10</v>
      </c>
      <c r="B128" s="14" t="s">
        <v>549</v>
      </c>
      <c r="C128">
        <v>12199000</v>
      </c>
      <c r="D128">
        <v>0</v>
      </c>
      <c r="E128">
        <v>0</v>
      </c>
      <c r="F128">
        <v>0</v>
      </c>
      <c r="G128">
        <v>0</v>
      </c>
      <c r="H128">
        <v>0</v>
      </c>
      <c r="I128">
        <v>0</v>
      </c>
      <c r="J128" t="s">
        <v>848</v>
      </c>
    </row>
    <row r="129" spans="1:10" x14ac:dyDescent="0.3">
      <c r="A129" t="s">
        <v>10</v>
      </c>
      <c r="B129" s="14" t="s">
        <v>320</v>
      </c>
      <c r="C129">
        <v>2600000</v>
      </c>
      <c r="D129">
        <v>0</v>
      </c>
      <c r="E129">
        <v>0</v>
      </c>
      <c r="F129">
        <v>0</v>
      </c>
      <c r="G129">
        <v>1</v>
      </c>
      <c r="H129">
        <v>0</v>
      </c>
      <c r="I129">
        <v>0</v>
      </c>
      <c r="J129" t="s">
        <v>848</v>
      </c>
    </row>
    <row r="130" spans="1:10" x14ac:dyDescent="0.3">
      <c r="A130" t="s">
        <v>10</v>
      </c>
      <c r="B130" s="14" t="s">
        <v>550</v>
      </c>
      <c r="C130">
        <v>2200000</v>
      </c>
      <c r="D130">
        <v>0</v>
      </c>
      <c r="E130">
        <v>0</v>
      </c>
      <c r="F130">
        <v>0</v>
      </c>
      <c r="G130">
        <v>0</v>
      </c>
      <c r="H130">
        <v>0</v>
      </c>
      <c r="I130">
        <v>0</v>
      </c>
      <c r="J130" t="s">
        <v>848</v>
      </c>
    </row>
    <row r="131" spans="1:10" x14ac:dyDescent="0.3">
      <c r="A131" t="s">
        <v>10</v>
      </c>
      <c r="B131" s="14" t="s">
        <v>319</v>
      </c>
      <c r="C131">
        <v>2900000</v>
      </c>
      <c r="D131">
        <v>0</v>
      </c>
      <c r="E131">
        <v>0</v>
      </c>
      <c r="F131">
        <v>1</v>
      </c>
      <c r="G131">
        <v>1</v>
      </c>
      <c r="H131">
        <v>0</v>
      </c>
      <c r="I131">
        <v>0</v>
      </c>
      <c r="J131" t="s">
        <v>848</v>
      </c>
    </row>
    <row r="132" spans="1:10" x14ac:dyDescent="0.3">
      <c r="A132" t="s">
        <v>10</v>
      </c>
      <c r="B132" s="14" t="s">
        <v>551</v>
      </c>
      <c r="C132">
        <v>2600000</v>
      </c>
      <c r="D132">
        <v>1</v>
      </c>
      <c r="E132">
        <v>0</v>
      </c>
      <c r="F132">
        <v>0</v>
      </c>
      <c r="G132">
        <v>0</v>
      </c>
      <c r="H132">
        <v>0</v>
      </c>
      <c r="I132">
        <v>0</v>
      </c>
      <c r="J132" t="s">
        <v>843</v>
      </c>
    </row>
    <row r="133" spans="1:10" x14ac:dyDescent="0.3">
      <c r="A133" t="s">
        <v>10</v>
      </c>
      <c r="B133" s="14" t="s">
        <v>552</v>
      </c>
      <c r="C133">
        <v>2200000</v>
      </c>
      <c r="D133">
        <v>0</v>
      </c>
      <c r="E133">
        <v>0</v>
      </c>
      <c r="F133">
        <v>0</v>
      </c>
      <c r="G133">
        <v>0</v>
      </c>
      <c r="H133">
        <v>0</v>
      </c>
      <c r="I133">
        <v>0</v>
      </c>
      <c r="J133" t="s">
        <v>848</v>
      </c>
    </row>
    <row r="134" spans="1:10" x14ac:dyDescent="0.3">
      <c r="A134" t="s">
        <v>10</v>
      </c>
      <c r="B134" s="14" t="s">
        <v>898</v>
      </c>
      <c r="C134">
        <v>3700000</v>
      </c>
      <c r="D134">
        <v>1</v>
      </c>
      <c r="E134">
        <v>0</v>
      </c>
      <c r="F134">
        <v>0</v>
      </c>
      <c r="G134">
        <v>0</v>
      </c>
      <c r="H134">
        <v>0</v>
      </c>
      <c r="I134">
        <v>0</v>
      </c>
      <c r="J134" t="s">
        <v>843</v>
      </c>
    </row>
    <row r="135" spans="1:10" x14ac:dyDescent="0.3">
      <c r="A135" t="s">
        <v>10</v>
      </c>
      <c r="B135" s="14" t="s">
        <v>554</v>
      </c>
      <c r="C135">
        <v>3300000</v>
      </c>
      <c r="D135">
        <v>0</v>
      </c>
      <c r="E135">
        <v>0</v>
      </c>
      <c r="F135">
        <v>0</v>
      </c>
      <c r="G135">
        <v>0</v>
      </c>
      <c r="H135">
        <v>0</v>
      </c>
      <c r="I135">
        <v>0</v>
      </c>
      <c r="J135" t="s">
        <v>848</v>
      </c>
    </row>
    <row r="136" spans="1:10" x14ac:dyDescent="0.3">
      <c r="A136" t="s">
        <v>10</v>
      </c>
      <c r="B136" s="14" t="s">
        <v>555</v>
      </c>
      <c r="C136">
        <v>2900000</v>
      </c>
      <c r="D136">
        <v>0</v>
      </c>
      <c r="E136">
        <v>0</v>
      </c>
      <c r="F136">
        <v>0</v>
      </c>
      <c r="G136">
        <v>0</v>
      </c>
      <c r="H136">
        <v>0</v>
      </c>
      <c r="I136">
        <v>0</v>
      </c>
      <c r="J136" t="s">
        <v>848</v>
      </c>
    </row>
    <row r="137" spans="1:10" x14ac:dyDescent="0.3">
      <c r="A137" t="s">
        <v>10</v>
      </c>
      <c r="B137" s="14" t="s">
        <v>420</v>
      </c>
      <c r="D137">
        <v>0</v>
      </c>
      <c r="E137">
        <v>0</v>
      </c>
      <c r="F137">
        <v>0</v>
      </c>
      <c r="G137">
        <v>0</v>
      </c>
      <c r="H137">
        <v>0</v>
      </c>
      <c r="I137">
        <v>0</v>
      </c>
      <c r="J137" t="s">
        <v>848</v>
      </c>
    </row>
    <row r="138" spans="1:10" x14ac:dyDescent="0.3">
      <c r="A138" t="s">
        <v>10</v>
      </c>
      <c r="B138" s="14" t="s">
        <v>556</v>
      </c>
      <c r="C138">
        <v>2900000</v>
      </c>
      <c r="D138">
        <v>0</v>
      </c>
      <c r="E138">
        <v>0</v>
      </c>
      <c r="F138">
        <v>0</v>
      </c>
      <c r="G138">
        <v>0</v>
      </c>
      <c r="H138">
        <v>0</v>
      </c>
      <c r="I138">
        <v>0</v>
      </c>
      <c r="J138" t="s">
        <v>848</v>
      </c>
    </row>
    <row r="139" spans="1:10" x14ac:dyDescent="0.3">
      <c r="A139" t="s">
        <v>10</v>
      </c>
      <c r="B139" s="14" t="s">
        <v>558</v>
      </c>
      <c r="C139">
        <v>3200000</v>
      </c>
      <c r="D139">
        <v>0</v>
      </c>
      <c r="E139">
        <v>0</v>
      </c>
      <c r="F139">
        <v>0</v>
      </c>
      <c r="G139">
        <v>0</v>
      </c>
      <c r="H139">
        <v>0</v>
      </c>
      <c r="I139">
        <v>0</v>
      </c>
      <c r="J139" t="s">
        <v>848</v>
      </c>
    </row>
    <row r="140" spans="1:10" x14ac:dyDescent="0.3">
      <c r="A140" t="s">
        <v>10</v>
      </c>
      <c r="B140" s="14" t="s">
        <v>557</v>
      </c>
      <c r="C140">
        <v>3900000</v>
      </c>
      <c r="D140">
        <v>0</v>
      </c>
      <c r="E140">
        <v>0</v>
      </c>
      <c r="F140">
        <v>0</v>
      </c>
      <c r="G140">
        <v>0</v>
      </c>
      <c r="H140">
        <v>0</v>
      </c>
      <c r="I140">
        <v>0</v>
      </c>
      <c r="J140" t="s">
        <v>843</v>
      </c>
    </row>
    <row r="141" spans="1:10" x14ac:dyDescent="0.3">
      <c r="A141" t="s">
        <v>10</v>
      </c>
      <c r="B141" s="14" t="s">
        <v>559</v>
      </c>
      <c r="C141">
        <v>3600000</v>
      </c>
      <c r="D141">
        <v>0</v>
      </c>
      <c r="E141">
        <v>0</v>
      </c>
      <c r="F141">
        <v>0</v>
      </c>
      <c r="G141">
        <v>0</v>
      </c>
      <c r="H141">
        <v>0</v>
      </c>
      <c r="I141">
        <v>0</v>
      </c>
      <c r="J141" t="s">
        <v>848</v>
      </c>
    </row>
    <row r="142" spans="1:10" x14ac:dyDescent="0.3">
      <c r="A142" t="s">
        <v>10</v>
      </c>
      <c r="B142" s="14" t="s">
        <v>321</v>
      </c>
      <c r="C142">
        <v>3900000</v>
      </c>
      <c r="D142">
        <v>0</v>
      </c>
      <c r="E142">
        <v>0</v>
      </c>
      <c r="F142">
        <v>0</v>
      </c>
      <c r="G142">
        <v>1</v>
      </c>
      <c r="H142">
        <v>0</v>
      </c>
      <c r="I142">
        <v>0</v>
      </c>
      <c r="J142" t="s">
        <v>848</v>
      </c>
    </row>
    <row r="143" spans="1:10" x14ac:dyDescent="0.3">
      <c r="A143" t="s">
        <v>10</v>
      </c>
      <c r="B143" s="14" t="s">
        <v>560</v>
      </c>
      <c r="C143">
        <v>3400000</v>
      </c>
      <c r="D143">
        <v>0</v>
      </c>
      <c r="E143">
        <v>0</v>
      </c>
      <c r="F143">
        <v>0</v>
      </c>
      <c r="G143">
        <v>0</v>
      </c>
      <c r="H143">
        <v>0</v>
      </c>
      <c r="I143">
        <v>0</v>
      </c>
      <c r="J143" t="s">
        <v>848</v>
      </c>
    </row>
    <row r="144" spans="1:10" x14ac:dyDescent="0.3">
      <c r="A144" t="s">
        <v>10</v>
      </c>
      <c r="B144" s="14" t="s">
        <v>561</v>
      </c>
      <c r="C144">
        <v>2600000</v>
      </c>
      <c r="D144">
        <v>1</v>
      </c>
      <c r="E144">
        <v>0</v>
      </c>
      <c r="F144">
        <v>0</v>
      </c>
      <c r="G144">
        <v>0</v>
      </c>
      <c r="H144">
        <v>0</v>
      </c>
      <c r="I144">
        <v>0</v>
      </c>
      <c r="J144" t="s">
        <v>843</v>
      </c>
    </row>
    <row r="145" spans="1:10" x14ac:dyDescent="0.3">
      <c r="A145" t="s">
        <v>10</v>
      </c>
      <c r="B145" s="14" t="s">
        <v>562</v>
      </c>
      <c r="C145">
        <v>2200000</v>
      </c>
      <c r="D145">
        <v>0</v>
      </c>
      <c r="E145">
        <v>0</v>
      </c>
      <c r="F145">
        <v>0</v>
      </c>
      <c r="G145">
        <v>0</v>
      </c>
      <c r="H145">
        <v>0</v>
      </c>
      <c r="I145">
        <v>0</v>
      </c>
      <c r="J145" t="s">
        <v>848</v>
      </c>
    </row>
    <row r="146" spans="1:10" x14ac:dyDescent="0.3">
      <c r="A146" t="s">
        <v>10</v>
      </c>
      <c r="B146" s="14" t="s">
        <v>183</v>
      </c>
      <c r="C146">
        <v>3000000</v>
      </c>
      <c r="D146">
        <v>2</v>
      </c>
      <c r="E146">
        <v>0</v>
      </c>
      <c r="F146">
        <v>2</v>
      </c>
      <c r="G146">
        <v>3</v>
      </c>
      <c r="H146">
        <v>0</v>
      </c>
      <c r="I146">
        <v>0</v>
      </c>
      <c r="J146" t="s">
        <v>843</v>
      </c>
    </row>
    <row r="147" spans="1:10" x14ac:dyDescent="0.3">
      <c r="A147" t="s">
        <v>10</v>
      </c>
      <c r="B147" s="14" t="s">
        <v>563</v>
      </c>
      <c r="C147">
        <v>2200000</v>
      </c>
      <c r="D147">
        <v>0</v>
      </c>
      <c r="E147">
        <v>0</v>
      </c>
      <c r="F147">
        <v>0</v>
      </c>
      <c r="G147">
        <v>0</v>
      </c>
      <c r="H147">
        <v>0</v>
      </c>
      <c r="I147">
        <v>0</v>
      </c>
      <c r="J147" t="s">
        <v>848</v>
      </c>
    </row>
    <row r="148" spans="1:10" x14ac:dyDescent="0.3">
      <c r="A148" t="s">
        <v>10</v>
      </c>
      <c r="B148" s="14" t="s">
        <v>172</v>
      </c>
      <c r="C148">
        <v>3000000</v>
      </c>
      <c r="D148">
        <v>3</v>
      </c>
      <c r="E148">
        <v>0</v>
      </c>
      <c r="F148">
        <v>0</v>
      </c>
      <c r="G148">
        <v>3</v>
      </c>
      <c r="H148">
        <v>0</v>
      </c>
      <c r="I148">
        <v>0</v>
      </c>
      <c r="J148" t="s">
        <v>843</v>
      </c>
    </row>
    <row r="149" spans="1:10" x14ac:dyDescent="0.3">
      <c r="A149" t="s">
        <v>10</v>
      </c>
      <c r="B149" s="14" t="s">
        <v>564</v>
      </c>
      <c r="C149">
        <v>2200000</v>
      </c>
      <c r="D149">
        <v>0</v>
      </c>
      <c r="E149">
        <v>0</v>
      </c>
      <c r="F149">
        <v>0</v>
      </c>
      <c r="G149">
        <v>0</v>
      </c>
      <c r="H149">
        <v>0</v>
      </c>
      <c r="I149">
        <v>0</v>
      </c>
      <c r="J149" t="s">
        <v>848</v>
      </c>
    </row>
    <row r="150" spans="1:10" x14ac:dyDescent="0.3">
      <c r="A150" t="s">
        <v>10</v>
      </c>
      <c r="B150" s="14" t="s">
        <v>565</v>
      </c>
      <c r="C150">
        <v>2400000</v>
      </c>
      <c r="D150">
        <v>0</v>
      </c>
      <c r="E150">
        <v>0</v>
      </c>
      <c r="F150">
        <v>0</v>
      </c>
      <c r="G150">
        <v>0</v>
      </c>
      <c r="H150">
        <v>0</v>
      </c>
      <c r="I150">
        <v>0</v>
      </c>
      <c r="J150" t="s">
        <v>848</v>
      </c>
    </row>
    <row r="151" spans="1:10" x14ac:dyDescent="0.3">
      <c r="A151" t="s">
        <v>10</v>
      </c>
      <c r="B151" s="14" t="s">
        <v>173</v>
      </c>
      <c r="C151">
        <v>3200000</v>
      </c>
      <c r="D151">
        <v>2</v>
      </c>
      <c r="E151">
        <v>0</v>
      </c>
      <c r="F151">
        <v>0</v>
      </c>
      <c r="G151">
        <v>4</v>
      </c>
      <c r="H151">
        <v>0</v>
      </c>
      <c r="I151">
        <v>0</v>
      </c>
      <c r="J151" t="s">
        <v>843</v>
      </c>
    </row>
    <row r="152" spans="1:10" x14ac:dyDescent="0.3">
      <c r="A152" t="s">
        <v>10</v>
      </c>
      <c r="B152" s="14" t="s">
        <v>899</v>
      </c>
      <c r="C152">
        <v>3700000</v>
      </c>
      <c r="D152">
        <v>60</v>
      </c>
      <c r="E152">
        <v>1</v>
      </c>
      <c r="F152">
        <v>1</v>
      </c>
      <c r="G152">
        <v>6</v>
      </c>
      <c r="H152">
        <v>0</v>
      </c>
      <c r="I152">
        <v>0</v>
      </c>
      <c r="J152" t="s">
        <v>843</v>
      </c>
    </row>
    <row r="153" spans="1:10" x14ac:dyDescent="0.3">
      <c r="A153" t="s">
        <v>10</v>
      </c>
      <c r="B153" s="14" t="s">
        <v>322</v>
      </c>
      <c r="C153">
        <v>4700000</v>
      </c>
      <c r="D153">
        <v>1</v>
      </c>
      <c r="E153">
        <v>0</v>
      </c>
      <c r="F153">
        <v>0</v>
      </c>
      <c r="G153">
        <v>0</v>
      </c>
      <c r="H153">
        <v>0</v>
      </c>
      <c r="I153">
        <v>0</v>
      </c>
      <c r="J153" t="s">
        <v>843</v>
      </c>
    </row>
    <row r="154" spans="1:10" x14ac:dyDescent="0.3">
      <c r="A154" t="s">
        <v>10</v>
      </c>
      <c r="B154" s="14" t="s">
        <v>145</v>
      </c>
      <c r="C154">
        <v>3100000</v>
      </c>
      <c r="D154">
        <v>22</v>
      </c>
      <c r="E154">
        <v>0</v>
      </c>
      <c r="F154">
        <v>0</v>
      </c>
      <c r="G154">
        <v>2</v>
      </c>
      <c r="H154">
        <v>0</v>
      </c>
      <c r="I154">
        <v>0</v>
      </c>
      <c r="J154" t="s">
        <v>843</v>
      </c>
    </row>
    <row r="155" spans="1:10" x14ac:dyDescent="0.3">
      <c r="A155" t="s">
        <v>10</v>
      </c>
      <c r="B155" s="14" t="s">
        <v>900</v>
      </c>
      <c r="C155">
        <v>7500000</v>
      </c>
      <c r="D155">
        <v>1</v>
      </c>
      <c r="E155">
        <v>0</v>
      </c>
      <c r="F155">
        <v>0</v>
      </c>
      <c r="G155">
        <v>0</v>
      </c>
      <c r="H155">
        <v>0</v>
      </c>
      <c r="I155">
        <v>0</v>
      </c>
      <c r="J155" t="s">
        <v>843</v>
      </c>
    </row>
    <row r="156" spans="1:10" x14ac:dyDescent="0.3">
      <c r="A156" t="s">
        <v>10</v>
      </c>
      <c r="B156" s="14" t="s">
        <v>901</v>
      </c>
      <c r="D156">
        <v>0</v>
      </c>
      <c r="E156">
        <v>0</v>
      </c>
      <c r="F156">
        <v>0</v>
      </c>
      <c r="G156">
        <v>0</v>
      </c>
      <c r="H156">
        <v>0</v>
      </c>
      <c r="I156">
        <v>0</v>
      </c>
      <c r="J156" t="s">
        <v>848</v>
      </c>
    </row>
    <row r="157" spans="1:10" x14ac:dyDescent="0.3">
      <c r="A157" t="s">
        <v>10</v>
      </c>
      <c r="B157" s="14" t="s">
        <v>567</v>
      </c>
      <c r="C157">
        <v>6000000</v>
      </c>
      <c r="D157">
        <v>0</v>
      </c>
      <c r="E157">
        <v>0</v>
      </c>
      <c r="F157">
        <v>0</v>
      </c>
      <c r="G157">
        <v>0</v>
      </c>
      <c r="H157">
        <v>0</v>
      </c>
      <c r="I157">
        <v>0</v>
      </c>
      <c r="J157" t="s">
        <v>848</v>
      </c>
    </row>
    <row r="158" spans="1:10" x14ac:dyDescent="0.3">
      <c r="A158" t="s">
        <v>10</v>
      </c>
      <c r="B158" s="14" t="s">
        <v>68</v>
      </c>
      <c r="C158">
        <v>3700000</v>
      </c>
      <c r="D158">
        <v>84</v>
      </c>
      <c r="E158">
        <v>2</v>
      </c>
      <c r="F158">
        <v>9</v>
      </c>
      <c r="G158">
        <v>16</v>
      </c>
      <c r="H158">
        <v>0</v>
      </c>
      <c r="I158">
        <v>0</v>
      </c>
      <c r="J158" t="s">
        <v>843</v>
      </c>
    </row>
    <row r="159" spans="1:10" x14ac:dyDescent="0.3">
      <c r="A159" t="s">
        <v>10</v>
      </c>
      <c r="B159" s="14" t="s">
        <v>568</v>
      </c>
      <c r="C159">
        <v>2700000</v>
      </c>
      <c r="D159">
        <v>1</v>
      </c>
      <c r="E159">
        <v>0</v>
      </c>
      <c r="F159">
        <v>0</v>
      </c>
      <c r="G159">
        <v>0</v>
      </c>
      <c r="H159">
        <v>0</v>
      </c>
      <c r="I159">
        <v>0</v>
      </c>
      <c r="J159" t="s">
        <v>843</v>
      </c>
    </row>
    <row r="160" spans="1:10" x14ac:dyDescent="0.3">
      <c r="A160" t="s">
        <v>10</v>
      </c>
      <c r="B160" s="14" t="s">
        <v>184</v>
      </c>
      <c r="C160">
        <v>3100000</v>
      </c>
      <c r="D160">
        <v>52</v>
      </c>
      <c r="E160">
        <v>0</v>
      </c>
      <c r="F160">
        <v>1</v>
      </c>
      <c r="G160">
        <v>3</v>
      </c>
      <c r="H160">
        <v>0</v>
      </c>
      <c r="I160">
        <v>0</v>
      </c>
      <c r="J160" t="s">
        <v>843</v>
      </c>
    </row>
    <row r="161" spans="1:10" x14ac:dyDescent="0.3">
      <c r="A161" t="s">
        <v>10</v>
      </c>
      <c r="B161" s="14" t="s">
        <v>107</v>
      </c>
      <c r="C161">
        <v>3700000</v>
      </c>
      <c r="D161">
        <v>101</v>
      </c>
      <c r="E161">
        <v>4</v>
      </c>
      <c r="F161">
        <v>5</v>
      </c>
      <c r="G161">
        <v>8</v>
      </c>
      <c r="H161">
        <v>0</v>
      </c>
      <c r="I161">
        <v>0</v>
      </c>
      <c r="J161" t="s">
        <v>843</v>
      </c>
    </row>
    <row r="162" spans="1:10" x14ac:dyDescent="0.3">
      <c r="A162" t="s">
        <v>10</v>
      </c>
      <c r="B162" s="14" t="s">
        <v>235</v>
      </c>
      <c r="C162">
        <v>4700000</v>
      </c>
      <c r="D162">
        <v>1</v>
      </c>
      <c r="E162">
        <v>1</v>
      </c>
      <c r="F162">
        <v>1</v>
      </c>
      <c r="G162">
        <v>1</v>
      </c>
      <c r="H162">
        <v>0</v>
      </c>
      <c r="I162">
        <v>0</v>
      </c>
      <c r="J162" t="s">
        <v>843</v>
      </c>
    </row>
    <row r="163" spans="1:10" x14ac:dyDescent="0.3">
      <c r="A163" t="s">
        <v>10</v>
      </c>
      <c r="B163" s="14" t="s">
        <v>421</v>
      </c>
      <c r="D163">
        <v>0</v>
      </c>
      <c r="E163">
        <v>0</v>
      </c>
      <c r="F163">
        <v>1</v>
      </c>
      <c r="G163">
        <v>0</v>
      </c>
      <c r="H163">
        <v>0</v>
      </c>
      <c r="I163">
        <v>0</v>
      </c>
      <c r="J163" t="s">
        <v>848</v>
      </c>
    </row>
    <row r="164" spans="1:10" x14ac:dyDescent="0.3">
      <c r="A164" t="s">
        <v>10</v>
      </c>
      <c r="B164" s="14" t="s">
        <v>323</v>
      </c>
      <c r="C164">
        <v>3100000</v>
      </c>
      <c r="D164">
        <v>49</v>
      </c>
      <c r="E164">
        <v>0</v>
      </c>
      <c r="F164">
        <v>1</v>
      </c>
      <c r="G164">
        <v>0</v>
      </c>
      <c r="H164">
        <v>0</v>
      </c>
      <c r="I164">
        <v>0</v>
      </c>
      <c r="J164" t="s">
        <v>843</v>
      </c>
    </row>
    <row r="165" spans="1:10" x14ac:dyDescent="0.3">
      <c r="A165" t="s">
        <v>10</v>
      </c>
      <c r="B165" s="14" t="s">
        <v>88</v>
      </c>
      <c r="C165">
        <v>4500000</v>
      </c>
      <c r="D165">
        <v>98</v>
      </c>
      <c r="E165">
        <v>5</v>
      </c>
      <c r="F165">
        <v>8</v>
      </c>
      <c r="G165">
        <v>12</v>
      </c>
      <c r="H165">
        <v>0</v>
      </c>
      <c r="I165">
        <v>0</v>
      </c>
      <c r="J165" t="s">
        <v>843</v>
      </c>
    </row>
    <row r="166" spans="1:10" x14ac:dyDescent="0.3">
      <c r="A166" t="s">
        <v>10</v>
      </c>
      <c r="B166" s="14" t="s">
        <v>174</v>
      </c>
      <c r="C166">
        <v>3100000</v>
      </c>
      <c r="D166">
        <v>52</v>
      </c>
      <c r="E166">
        <v>1</v>
      </c>
      <c r="F166">
        <v>2</v>
      </c>
      <c r="G166">
        <v>3</v>
      </c>
      <c r="H166">
        <v>0</v>
      </c>
      <c r="I166">
        <v>0</v>
      </c>
      <c r="J166" t="s">
        <v>843</v>
      </c>
    </row>
    <row r="167" spans="1:10" x14ac:dyDescent="0.3">
      <c r="A167" t="s">
        <v>10</v>
      </c>
      <c r="B167" s="14" t="s">
        <v>207</v>
      </c>
      <c r="C167">
        <v>3500000</v>
      </c>
      <c r="D167">
        <v>4</v>
      </c>
      <c r="E167">
        <v>0</v>
      </c>
      <c r="F167">
        <v>1</v>
      </c>
      <c r="G167">
        <v>2</v>
      </c>
      <c r="H167">
        <v>0</v>
      </c>
      <c r="I167">
        <v>0</v>
      </c>
      <c r="J167" t="s">
        <v>843</v>
      </c>
    </row>
    <row r="168" spans="1:10" x14ac:dyDescent="0.3">
      <c r="A168" t="s">
        <v>10</v>
      </c>
      <c r="B168" s="14" t="s">
        <v>902</v>
      </c>
      <c r="C168">
        <v>4500000</v>
      </c>
      <c r="D168">
        <v>1</v>
      </c>
      <c r="E168">
        <v>0</v>
      </c>
      <c r="F168">
        <v>0</v>
      </c>
      <c r="G168">
        <v>0</v>
      </c>
      <c r="H168">
        <v>0</v>
      </c>
      <c r="I168">
        <v>0</v>
      </c>
      <c r="J168" t="s">
        <v>843</v>
      </c>
    </row>
    <row r="169" spans="1:10" x14ac:dyDescent="0.3">
      <c r="A169" t="s">
        <v>10</v>
      </c>
      <c r="B169" s="14" t="s">
        <v>570</v>
      </c>
      <c r="C169">
        <v>3100000</v>
      </c>
      <c r="D169">
        <v>3</v>
      </c>
      <c r="E169">
        <v>0</v>
      </c>
      <c r="F169">
        <v>0</v>
      </c>
      <c r="G169">
        <v>0</v>
      </c>
      <c r="H169">
        <v>0</v>
      </c>
      <c r="I169">
        <v>0</v>
      </c>
      <c r="J169" t="s">
        <v>843</v>
      </c>
    </row>
    <row r="170" spans="1:10" x14ac:dyDescent="0.3">
      <c r="A170" t="s">
        <v>10</v>
      </c>
      <c r="B170" s="14" t="s">
        <v>571</v>
      </c>
      <c r="C170">
        <v>2700000</v>
      </c>
      <c r="D170">
        <v>0</v>
      </c>
      <c r="E170">
        <v>0</v>
      </c>
      <c r="F170">
        <v>0</v>
      </c>
      <c r="G170">
        <v>0</v>
      </c>
      <c r="H170">
        <v>0</v>
      </c>
      <c r="I170">
        <v>0</v>
      </c>
      <c r="J170" t="s">
        <v>848</v>
      </c>
    </row>
    <row r="171" spans="1:10" x14ac:dyDescent="0.3">
      <c r="A171" t="s">
        <v>10</v>
      </c>
      <c r="B171" s="14" t="s">
        <v>158</v>
      </c>
      <c r="C171">
        <v>3400000</v>
      </c>
      <c r="D171">
        <v>8</v>
      </c>
      <c r="E171">
        <v>1</v>
      </c>
      <c r="F171">
        <v>3</v>
      </c>
      <c r="G171">
        <v>4</v>
      </c>
      <c r="H171">
        <v>0</v>
      </c>
      <c r="I171">
        <v>0</v>
      </c>
      <c r="J171" t="s">
        <v>843</v>
      </c>
    </row>
    <row r="172" spans="1:10" x14ac:dyDescent="0.3">
      <c r="A172" t="s">
        <v>10</v>
      </c>
      <c r="B172" s="14" t="s">
        <v>572</v>
      </c>
      <c r="C172">
        <v>3100000</v>
      </c>
      <c r="D172">
        <v>0</v>
      </c>
      <c r="E172">
        <v>0</v>
      </c>
      <c r="F172">
        <v>0</v>
      </c>
      <c r="G172">
        <v>0</v>
      </c>
      <c r="H172">
        <v>0</v>
      </c>
      <c r="I172">
        <v>0</v>
      </c>
      <c r="J172" t="s">
        <v>848</v>
      </c>
    </row>
    <row r="173" spans="1:10" x14ac:dyDescent="0.3">
      <c r="A173" t="s">
        <v>10</v>
      </c>
      <c r="B173" s="14" t="s">
        <v>573</v>
      </c>
      <c r="C173">
        <v>2700000</v>
      </c>
      <c r="D173">
        <v>0</v>
      </c>
      <c r="E173">
        <v>0</v>
      </c>
      <c r="F173">
        <v>0</v>
      </c>
      <c r="G173">
        <v>0</v>
      </c>
      <c r="H173">
        <v>0</v>
      </c>
      <c r="I173">
        <v>0</v>
      </c>
      <c r="J173" t="s">
        <v>848</v>
      </c>
    </row>
    <row r="174" spans="1:10" x14ac:dyDescent="0.3">
      <c r="A174" t="s">
        <v>10</v>
      </c>
      <c r="B174" s="14" t="s">
        <v>208</v>
      </c>
      <c r="C174">
        <v>3500000</v>
      </c>
      <c r="D174">
        <v>5</v>
      </c>
      <c r="E174">
        <v>0</v>
      </c>
      <c r="F174">
        <v>0</v>
      </c>
      <c r="G174">
        <v>3</v>
      </c>
      <c r="H174">
        <v>0</v>
      </c>
      <c r="I174">
        <v>0</v>
      </c>
      <c r="J174" t="s">
        <v>843</v>
      </c>
    </row>
    <row r="175" spans="1:10" x14ac:dyDescent="0.3">
      <c r="A175" t="s">
        <v>10</v>
      </c>
      <c r="B175" s="14" t="s">
        <v>574</v>
      </c>
      <c r="C175">
        <v>3100000</v>
      </c>
      <c r="D175">
        <v>2</v>
      </c>
      <c r="E175">
        <v>0</v>
      </c>
      <c r="F175">
        <v>0</v>
      </c>
      <c r="G175">
        <v>0</v>
      </c>
      <c r="H175">
        <v>0</v>
      </c>
      <c r="I175">
        <v>0</v>
      </c>
      <c r="J175" t="s">
        <v>843</v>
      </c>
    </row>
    <row r="176" spans="1:10" x14ac:dyDescent="0.3">
      <c r="A176" t="s">
        <v>10</v>
      </c>
      <c r="B176" s="14" t="s">
        <v>575</v>
      </c>
      <c r="C176">
        <v>2700000</v>
      </c>
      <c r="D176">
        <v>0</v>
      </c>
      <c r="E176">
        <v>0</v>
      </c>
      <c r="F176">
        <v>0</v>
      </c>
      <c r="G176">
        <v>0</v>
      </c>
      <c r="H176">
        <v>0</v>
      </c>
      <c r="I176">
        <v>0</v>
      </c>
      <c r="J176" t="s">
        <v>848</v>
      </c>
    </row>
    <row r="177" spans="1:10" x14ac:dyDescent="0.3">
      <c r="A177" t="s">
        <v>10</v>
      </c>
      <c r="B177" s="14" t="s">
        <v>209</v>
      </c>
      <c r="C177">
        <v>3500000</v>
      </c>
      <c r="D177">
        <v>2</v>
      </c>
      <c r="E177">
        <v>0</v>
      </c>
      <c r="F177">
        <v>0</v>
      </c>
      <c r="G177">
        <v>1</v>
      </c>
      <c r="H177">
        <v>0</v>
      </c>
      <c r="I177">
        <v>0</v>
      </c>
      <c r="J177" t="s">
        <v>843</v>
      </c>
    </row>
    <row r="178" spans="1:10" x14ac:dyDescent="0.3">
      <c r="A178" t="s">
        <v>10</v>
      </c>
      <c r="B178" s="14" t="s">
        <v>577</v>
      </c>
      <c r="C178">
        <v>4700000</v>
      </c>
      <c r="D178">
        <v>0</v>
      </c>
      <c r="E178">
        <v>0</v>
      </c>
      <c r="F178">
        <v>0</v>
      </c>
      <c r="G178">
        <v>0</v>
      </c>
      <c r="H178">
        <v>0</v>
      </c>
      <c r="I178">
        <v>0</v>
      </c>
      <c r="J178" t="s">
        <v>848</v>
      </c>
    </row>
    <row r="179" spans="1:10" x14ac:dyDescent="0.3">
      <c r="A179" t="s">
        <v>10</v>
      </c>
      <c r="B179" s="14" t="s">
        <v>578</v>
      </c>
      <c r="C179">
        <v>4000000</v>
      </c>
      <c r="D179">
        <v>0</v>
      </c>
      <c r="E179">
        <v>0</v>
      </c>
      <c r="F179">
        <v>0</v>
      </c>
      <c r="G179">
        <v>0</v>
      </c>
      <c r="H179">
        <v>0</v>
      </c>
      <c r="I179">
        <v>0</v>
      </c>
      <c r="J179" t="s">
        <v>848</v>
      </c>
    </row>
    <row r="180" spans="1:10" x14ac:dyDescent="0.3">
      <c r="A180" t="s">
        <v>10</v>
      </c>
      <c r="B180" s="14" t="s">
        <v>576</v>
      </c>
      <c r="C180">
        <v>5000000</v>
      </c>
      <c r="D180">
        <v>0</v>
      </c>
      <c r="E180">
        <v>0</v>
      </c>
      <c r="F180">
        <v>0</v>
      </c>
      <c r="G180">
        <v>0</v>
      </c>
      <c r="H180">
        <v>0</v>
      </c>
      <c r="I180">
        <v>0</v>
      </c>
      <c r="J180" t="s">
        <v>848</v>
      </c>
    </row>
    <row r="181" spans="1:10" x14ac:dyDescent="0.3">
      <c r="A181" t="s">
        <v>10</v>
      </c>
      <c r="B181" s="14" t="s">
        <v>324</v>
      </c>
      <c r="C181">
        <v>3900000</v>
      </c>
      <c r="D181">
        <v>1</v>
      </c>
      <c r="E181">
        <v>0</v>
      </c>
      <c r="F181">
        <v>0</v>
      </c>
      <c r="G181">
        <v>0</v>
      </c>
      <c r="H181">
        <v>0</v>
      </c>
      <c r="I181">
        <v>0</v>
      </c>
      <c r="J181" t="s">
        <v>843</v>
      </c>
    </row>
    <row r="182" spans="1:10" x14ac:dyDescent="0.3">
      <c r="A182" t="s">
        <v>10</v>
      </c>
      <c r="B182" s="14" t="s">
        <v>579</v>
      </c>
      <c r="C182">
        <v>4200000</v>
      </c>
      <c r="D182">
        <v>1</v>
      </c>
      <c r="E182">
        <v>0</v>
      </c>
      <c r="F182">
        <v>0</v>
      </c>
      <c r="G182">
        <v>0</v>
      </c>
      <c r="H182">
        <v>0</v>
      </c>
      <c r="I182">
        <v>1</v>
      </c>
      <c r="J182" t="s">
        <v>843</v>
      </c>
    </row>
    <row r="183" spans="1:10" x14ac:dyDescent="0.3">
      <c r="A183" t="s">
        <v>10</v>
      </c>
      <c r="B183" s="14" t="s">
        <v>903</v>
      </c>
      <c r="C183">
        <v>3900000</v>
      </c>
      <c r="D183">
        <v>0</v>
      </c>
      <c r="E183">
        <v>0</v>
      </c>
      <c r="F183">
        <v>0</v>
      </c>
      <c r="G183">
        <v>0</v>
      </c>
      <c r="H183">
        <v>0</v>
      </c>
      <c r="I183">
        <v>0</v>
      </c>
      <c r="J183" t="s">
        <v>848</v>
      </c>
    </row>
    <row r="184" spans="1:10" x14ac:dyDescent="0.3">
      <c r="A184" t="s">
        <v>10</v>
      </c>
      <c r="B184" s="14" t="s">
        <v>581</v>
      </c>
      <c r="C184">
        <v>3500000</v>
      </c>
      <c r="D184">
        <v>0</v>
      </c>
      <c r="E184">
        <v>0</v>
      </c>
      <c r="F184">
        <v>0</v>
      </c>
      <c r="G184">
        <v>0</v>
      </c>
      <c r="H184">
        <v>0</v>
      </c>
      <c r="I184">
        <v>0</v>
      </c>
      <c r="J184" t="s">
        <v>848</v>
      </c>
    </row>
    <row r="185" spans="1:10" x14ac:dyDescent="0.3">
      <c r="A185" t="s">
        <v>10</v>
      </c>
      <c r="B185" s="14" t="s">
        <v>325</v>
      </c>
      <c r="C185">
        <v>4200000</v>
      </c>
      <c r="D185">
        <v>4</v>
      </c>
      <c r="E185">
        <v>0</v>
      </c>
      <c r="F185">
        <v>-1</v>
      </c>
      <c r="G185">
        <v>0</v>
      </c>
      <c r="H185">
        <v>0</v>
      </c>
      <c r="I185">
        <v>0</v>
      </c>
      <c r="J185" t="s">
        <v>843</v>
      </c>
    </row>
    <row r="186" spans="1:10" x14ac:dyDescent="0.3">
      <c r="A186" t="s">
        <v>10</v>
      </c>
      <c r="B186" s="14" t="s">
        <v>582</v>
      </c>
      <c r="C186">
        <v>3500000</v>
      </c>
      <c r="D186">
        <v>0</v>
      </c>
      <c r="E186">
        <v>0</v>
      </c>
      <c r="F186">
        <v>0</v>
      </c>
      <c r="G186">
        <v>0</v>
      </c>
      <c r="H186">
        <v>0</v>
      </c>
      <c r="I186">
        <v>0</v>
      </c>
      <c r="J186" t="s">
        <v>848</v>
      </c>
    </row>
    <row r="187" spans="1:10" x14ac:dyDescent="0.3">
      <c r="A187" t="s">
        <v>10</v>
      </c>
      <c r="B187" s="14" t="s">
        <v>326</v>
      </c>
      <c r="C187">
        <v>4200000</v>
      </c>
      <c r="D187">
        <v>2</v>
      </c>
      <c r="E187">
        <v>0</v>
      </c>
      <c r="F187">
        <v>0</v>
      </c>
      <c r="G187">
        <v>0</v>
      </c>
      <c r="H187">
        <v>0</v>
      </c>
      <c r="I187">
        <v>0</v>
      </c>
      <c r="J187" t="s">
        <v>843</v>
      </c>
    </row>
    <row r="188" spans="1:10" x14ac:dyDescent="0.3">
      <c r="A188" t="s">
        <v>10</v>
      </c>
      <c r="B188" s="14" t="s">
        <v>120</v>
      </c>
      <c r="C188">
        <v>4200000</v>
      </c>
      <c r="D188">
        <v>4</v>
      </c>
      <c r="E188">
        <v>2</v>
      </c>
      <c r="F188">
        <v>3</v>
      </c>
      <c r="G188">
        <v>6</v>
      </c>
      <c r="H188">
        <v>0</v>
      </c>
      <c r="I188">
        <v>0</v>
      </c>
      <c r="J188" t="s">
        <v>843</v>
      </c>
    </row>
    <row r="189" spans="1:10" x14ac:dyDescent="0.3">
      <c r="A189" t="s">
        <v>10</v>
      </c>
      <c r="B189" s="14" t="s">
        <v>904</v>
      </c>
      <c r="C189">
        <v>5500000</v>
      </c>
      <c r="D189">
        <v>2</v>
      </c>
      <c r="E189">
        <v>0</v>
      </c>
      <c r="F189">
        <v>0</v>
      </c>
      <c r="G189">
        <v>-1</v>
      </c>
      <c r="H189">
        <v>0</v>
      </c>
      <c r="I189">
        <v>0</v>
      </c>
      <c r="J189" t="s">
        <v>843</v>
      </c>
    </row>
    <row r="190" spans="1:10" x14ac:dyDescent="0.3">
      <c r="A190" t="s">
        <v>10</v>
      </c>
      <c r="B190" s="14" t="s">
        <v>328</v>
      </c>
      <c r="C190">
        <v>4700000</v>
      </c>
      <c r="D190">
        <v>0</v>
      </c>
      <c r="E190">
        <v>0</v>
      </c>
      <c r="F190">
        <v>1</v>
      </c>
      <c r="G190">
        <v>1</v>
      </c>
      <c r="H190">
        <v>0</v>
      </c>
      <c r="I190">
        <v>0</v>
      </c>
      <c r="J190" t="s">
        <v>848</v>
      </c>
    </row>
    <row r="191" spans="1:10" x14ac:dyDescent="0.3">
      <c r="A191" t="s">
        <v>10</v>
      </c>
      <c r="B191" s="14" t="s">
        <v>422</v>
      </c>
      <c r="C191">
        <v>5000000</v>
      </c>
      <c r="D191">
        <v>2</v>
      </c>
      <c r="E191">
        <v>0</v>
      </c>
      <c r="F191">
        <v>0</v>
      </c>
      <c r="G191">
        <v>0</v>
      </c>
      <c r="H191">
        <v>0</v>
      </c>
      <c r="I191">
        <v>0</v>
      </c>
      <c r="J191" t="s">
        <v>843</v>
      </c>
    </row>
    <row r="192" spans="1:10" x14ac:dyDescent="0.3">
      <c r="A192" t="s">
        <v>10</v>
      </c>
      <c r="B192" s="14" t="s">
        <v>905</v>
      </c>
      <c r="C192">
        <v>4300000</v>
      </c>
      <c r="D192">
        <v>1</v>
      </c>
      <c r="E192">
        <v>0</v>
      </c>
      <c r="F192">
        <v>0</v>
      </c>
      <c r="G192">
        <v>0</v>
      </c>
      <c r="H192">
        <v>0</v>
      </c>
      <c r="I192">
        <v>0</v>
      </c>
      <c r="J192" t="s">
        <v>843</v>
      </c>
    </row>
    <row r="193" spans="1:10" x14ac:dyDescent="0.3">
      <c r="A193" t="s">
        <v>10</v>
      </c>
      <c r="B193" s="14" t="s">
        <v>584</v>
      </c>
      <c r="C193">
        <v>4500000</v>
      </c>
      <c r="D193">
        <v>0</v>
      </c>
      <c r="E193">
        <v>0</v>
      </c>
      <c r="F193">
        <v>0</v>
      </c>
      <c r="G193">
        <v>0</v>
      </c>
      <c r="H193">
        <v>0</v>
      </c>
      <c r="I193">
        <v>0</v>
      </c>
      <c r="J193" t="s">
        <v>848</v>
      </c>
    </row>
    <row r="194" spans="1:10" x14ac:dyDescent="0.3">
      <c r="A194" t="s">
        <v>10</v>
      </c>
      <c r="B194" s="14" t="s">
        <v>210</v>
      </c>
      <c r="C194">
        <v>4800000</v>
      </c>
      <c r="D194">
        <v>10</v>
      </c>
      <c r="E194">
        <v>0</v>
      </c>
      <c r="F194">
        <v>1</v>
      </c>
      <c r="G194">
        <v>2</v>
      </c>
      <c r="H194">
        <v>0</v>
      </c>
      <c r="I194">
        <v>0</v>
      </c>
      <c r="J194" t="s">
        <v>843</v>
      </c>
    </row>
    <row r="195" spans="1:10" x14ac:dyDescent="0.3">
      <c r="A195" t="s">
        <v>10</v>
      </c>
      <c r="B195" s="14" t="s">
        <v>159</v>
      </c>
      <c r="C195">
        <v>4800000</v>
      </c>
      <c r="D195">
        <v>4</v>
      </c>
      <c r="E195">
        <v>0</v>
      </c>
      <c r="F195">
        <v>1</v>
      </c>
      <c r="G195">
        <v>2</v>
      </c>
      <c r="H195">
        <v>0</v>
      </c>
      <c r="I195">
        <v>0</v>
      </c>
      <c r="J195" t="s">
        <v>843</v>
      </c>
    </row>
    <row r="196" spans="1:10" x14ac:dyDescent="0.3">
      <c r="A196" t="s">
        <v>10</v>
      </c>
      <c r="B196" s="14" t="s">
        <v>585</v>
      </c>
      <c r="C196">
        <v>4500000</v>
      </c>
      <c r="D196">
        <v>2</v>
      </c>
      <c r="E196">
        <v>0</v>
      </c>
      <c r="F196">
        <v>0</v>
      </c>
      <c r="G196">
        <v>0</v>
      </c>
      <c r="H196">
        <v>0</v>
      </c>
      <c r="I196">
        <v>0</v>
      </c>
      <c r="J196" t="s">
        <v>843</v>
      </c>
    </row>
    <row r="197" spans="1:10" x14ac:dyDescent="0.3">
      <c r="A197" t="s">
        <v>10</v>
      </c>
      <c r="B197" s="14" t="s">
        <v>69</v>
      </c>
      <c r="C197">
        <v>4800000</v>
      </c>
      <c r="D197">
        <v>20</v>
      </c>
      <c r="E197">
        <v>1</v>
      </c>
      <c r="F197">
        <v>4</v>
      </c>
      <c r="G197">
        <v>9</v>
      </c>
      <c r="H197">
        <v>0</v>
      </c>
      <c r="I197">
        <v>0</v>
      </c>
      <c r="J197" t="s">
        <v>843</v>
      </c>
    </row>
    <row r="198" spans="1:10" x14ac:dyDescent="0.3">
      <c r="A198" t="s">
        <v>10</v>
      </c>
      <c r="B198" s="14" t="s">
        <v>586</v>
      </c>
      <c r="C198">
        <v>5100000</v>
      </c>
      <c r="D198">
        <v>2</v>
      </c>
      <c r="E198">
        <v>0</v>
      </c>
      <c r="F198">
        <v>0</v>
      </c>
      <c r="G198">
        <v>0</v>
      </c>
      <c r="H198">
        <v>0</v>
      </c>
      <c r="I198">
        <v>0</v>
      </c>
      <c r="J198" t="s">
        <v>843</v>
      </c>
    </row>
    <row r="199" spans="1:10" x14ac:dyDescent="0.3">
      <c r="A199" t="s">
        <v>10</v>
      </c>
      <c r="B199" s="14" t="s">
        <v>185</v>
      </c>
      <c r="C199">
        <v>5400000</v>
      </c>
      <c r="D199">
        <v>12</v>
      </c>
      <c r="E199">
        <v>0</v>
      </c>
      <c r="F199">
        <v>0</v>
      </c>
      <c r="G199">
        <v>2</v>
      </c>
      <c r="H199">
        <v>0</v>
      </c>
      <c r="I199">
        <v>0</v>
      </c>
      <c r="J199" t="s">
        <v>843</v>
      </c>
    </row>
    <row r="200" spans="1:10" x14ac:dyDescent="0.3">
      <c r="A200" t="s">
        <v>10</v>
      </c>
      <c r="B200" s="14" t="s">
        <v>587</v>
      </c>
      <c r="C200">
        <v>5100000</v>
      </c>
      <c r="D200">
        <v>0</v>
      </c>
      <c r="E200">
        <v>0</v>
      </c>
      <c r="F200">
        <v>0</v>
      </c>
      <c r="G200">
        <v>0</v>
      </c>
      <c r="H200">
        <v>0</v>
      </c>
      <c r="I200">
        <v>0</v>
      </c>
      <c r="J200" t="s">
        <v>848</v>
      </c>
    </row>
    <row r="201" spans="1:10" x14ac:dyDescent="0.3">
      <c r="A201" t="s">
        <v>10</v>
      </c>
      <c r="B201" s="14" t="s">
        <v>588</v>
      </c>
      <c r="C201">
        <v>4700000</v>
      </c>
      <c r="D201">
        <v>0</v>
      </c>
      <c r="E201">
        <v>0</v>
      </c>
      <c r="F201">
        <v>0</v>
      </c>
      <c r="G201">
        <v>0</v>
      </c>
      <c r="H201">
        <v>0</v>
      </c>
      <c r="I201">
        <v>0</v>
      </c>
      <c r="J201" t="s">
        <v>848</v>
      </c>
    </row>
    <row r="202" spans="1:10" x14ac:dyDescent="0.3">
      <c r="A202" t="s">
        <v>10</v>
      </c>
      <c r="B202" s="14" t="s">
        <v>211</v>
      </c>
      <c r="C202">
        <v>5400000</v>
      </c>
      <c r="D202">
        <v>4</v>
      </c>
      <c r="E202">
        <v>0</v>
      </c>
      <c r="F202">
        <v>0</v>
      </c>
      <c r="G202">
        <v>1</v>
      </c>
      <c r="H202">
        <v>0</v>
      </c>
      <c r="I202">
        <v>0</v>
      </c>
      <c r="J202" t="s">
        <v>843</v>
      </c>
    </row>
    <row r="203" spans="1:10" x14ac:dyDescent="0.3">
      <c r="A203" t="s">
        <v>10</v>
      </c>
      <c r="B203" s="14" t="s">
        <v>589</v>
      </c>
      <c r="C203">
        <v>8000000</v>
      </c>
      <c r="D203">
        <v>0</v>
      </c>
      <c r="E203">
        <v>0</v>
      </c>
      <c r="F203">
        <v>0</v>
      </c>
      <c r="G203">
        <v>0</v>
      </c>
      <c r="H203">
        <v>0</v>
      </c>
      <c r="I203">
        <v>0</v>
      </c>
      <c r="J203" t="s">
        <v>848</v>
      </c>
    </row>
    <row r="204" spans="1:10" x14ac:dyDescent="0.3">
      <c r="A204" t="s">
        <v>10</v>
      </c>
      <c r="B204" s="14" t="s">
        <v>590</v>
      </c>
      <c r="C204">
        <v>5100000</v>
      </c>
      <c r="D204">
        <v>2</v>
      </c>
      <c r="E204">
        <v>0</v>
      </c>
      <c r="F204">
        <v>0</v>
      </c>
      <c r="G204">
        <v>0</v>
      </c>
      <c r="H204">
        <v>0</v>
      </c>
      <c r="I204">
        <v>0</v>
      </c>
      <c r="J204" t="s">
        <v>843</v>
      </c>
    </row>
    <row r="205" spans="1:10" x14ac:dyDescent="0.3">
      <c r="A205" t="s">
        <v>10</v>
      </c>
      <c r="B205" s="14" t="s">
        <v>236</v>
      </c>
      <c r="C205">
        <v>5400000</v>
      </c>
      <c r="D205">
        <v>7</v>
      </c>
      <c r="E205">
        <v>0</v>
      </c>
      <c r="F205">
        <v>0</v>
      </c>
      <c r="G205">
        <v>0</v>
      </c>
      <c r="H205">
        <v>0</v>
      </c>
      <c r="I205">
        <v>0</v>
      </c>
      <c r="J205" t="s">
        <v>843</v>
      </c>
    </row>
    <row r="206" spans="1:10" x14ac:dyDescent="0.3">
      <c r="A206" t="s">
        <v>10</v>
      </c>
      <c r="B206" s="14" t="s">
        <v>238</v>
      </c>
      <c r="C206">
        <v>5100000</v>
      </c>
      <c r="D206">
        <v>2</v>
      </c>
      <c r="E206">
        <v>0</v>
      </c>
      <c r="F206">
        <v>0</v>
      </c>
      <c r="G206">
        <v>0</v>
      </c>
      <c r="H206">
        <v>0</v>
      </c>
      <c r="I206">
        <v>0</v>
      </c>
      <c r="J206" t="s">
        <v>843</v>
      </c>
    </row>
    <row r="207" spans="1:10" x14ac:dyDescent="0.3">
      <c r="A207" t="s">
        <v>10</v>
      </c>
      <c r="B207" s="14" t="s">
        <v>591</v>
      </c>
      <c r="C207">
        <v>4700000</v>
      </c>
      <c r="D207">
        <v>0</v>
      </c>
      <c r="E207">
        <v>0</v>
      </c>
      <c r="F207">
        <v>0</v>
      </c>
      <c r="G207">
        <v>0</v>
      </c>
      <c r="H207">
        <v>0</v>
      </c>
      <c r="I207">
        <v>0</v>
      </c>
      <c r="J207" t="s">
        <v>848</v>
      </c>
    </row>
    <row r="208" spans="1:10" x14ac:dyDescent="0.3">
      <c r="A208" t="s">
        <v>10</v>
      </c>
      <c r="B208" s="14" t="s">
        <v>237</v>
      </c>
      <c r="C208">
        <v>5400000</v>
      </c>
      <c r="D208">
        <v>11</v>
      </c>
      <c r="E208">
        <v>2</v>
      </c>
      <c r="F208">
        <v>3</v>
      </c>
      <c r="G208">
        <v>3</v>
      </c>
      <c r="H208">
        <v>0</v>
      </c>
      <c r="I208">
        <v>0</v>
      </c>
      <c r="J208" t="s">
        <v>843</v>
      </c>
    </row>
    <row r="209" spans="1:10" x14ac:dyDescent="0.3">
      <c r="A209" t="s">
        <v>10</v>
      </c>
      <c r="B209" s="14" t="s">
        <v>906</v>
      </c>
      <c r="C209">
        <v>4500000</v>
      </c>
      <c r="D209">
        <v>0</v>
      </c>
      <c r="E209">
        <v>0</v>
      </c>
      <c r="F209">
        <v>0</v>
      </c>
      <c r="G209">
        <v>0</v>
      </c>
      <c r="H209">
        <v>0</v>
      </c>
      <c r="I209">
        <v>0</v>
      </c>
      <c r="J209" t="s">
        <v>848</v>
      </c>
    </row>
    <row r="210" spans="1:10" x14ac:dyDescent="0.3">
      <c r="A210" t="s">
        <v>10</v>
      </c>
      <c r="B210" s="14" t="s">
        <v>160</v>
      </c>
      <c r="C210">
        <v>4900000</v>
      </c>
      <c r="D210">
        <v>6</v>
      </c>
      <c r="E210">
        <v>1</v>
      </c>
      <c r="F210">
        <v>3</v>
      </c>
      <c r="G210">
        <v>5</v>
      </c>
      <c r="H210">
        <v>0</v>
      </c>
      <c r="I210">
        <v>0</v>
      </c>
      <c r="J210" t="s">
        <v>843</v>
      </c>
    </row>
    <row r="211" spans="1:10" x14ac:dyDescent="0.3">
      <c r="A211" t="s">
        <v>10</v>
      </c>
      <c r="B211" s="14" t="s">
        <v>907</v>
      </c>
      <c r="C211">
        <v>6500000</v>
      </c>
      <c r="D211">
        <v>0</v>
      </c>
      <c r="E211">
        <v>0</v>
      </c>
      <c r="F211">
        <v>0</v>
      </c>
      <c r="G211">
        <v>0</v>
      </c>
      <c r="H211">
        <v>0</v>
      </c>
      <c r="I211">
        <v>0</v>
      </c>
      <c r="J211" t="s">
        <v>848</v>
      </c>
    </row>
    <row r="212" spans="1:10" x14ac:dyDescent="0.3">
      <c r="A212" t="s">
        <v>10</v>
      </c>
      <c r="B212" s="14" t="s">
        <v>806</v>
      </c>
      <c r="D212">
        <v>0</v>
      </c>
      <c r="E212">
        <v>0</v>
      </c>
      <c r="F212">
        <v>0</v>
      </c>
      <c r="G212">
        <v>-1</v>
      </c>
      <c r="H212">
        <v>0</v>
      </c>
      <c r="I212">
        <v>0</v>
      </c>
      <c r="J212" t="s">
        <v>848</v>
      </c>
    </row>
    <row r="213" spans="1:10" x14ac:dyDescent="0.3">
      <c r="A213" t="s">
        <v>10</v>
      </c>
      <c r="B213" s="14" t="s">
        <v>108</v>
      </c>
      <c r="C213">
        <v>4900000</v>
      </c>
      <c r="D213">
        <v>22</v>
      </c>
      <c r="E213">
        <v>2</v>
      </c>
      <c r="F213">
        <v>3</v>
      </c>
      <c r="G213">
        <v>9</v>
      </c>
      <c r="H213">
        <v>0</v>
      </c>
      <c r="I213">
        <v>0</v>
      </c>
      <c r="J213" t="s">
        <v>843</v>
      </c>
    </row>
    <row r="214" spans="1:10" x14ac:dyDescent="0.3">
      <c r="A214" t="s">
        <v>10</v>
      </c>
      <c r="B214" s="14" t="s">
        <v>597</v>
      </c>
      <c r="C214">
        <v>9000000</v>
      </c>
      <c r="D214">
        <v>0</v>
      </c>
      <c r="E214">
        <v>0</v>
      </c>
      <c r="F214">
        <v>0</v>
      </c>
      <c r="G214">
        <v>0</v>
      </c>
      <c r="H214">
        <v>0</v>
      </c>
      <c r="I214">
        <v>0</v>
      </c>
      <c r="J214" t="s">
        <v>848</v>
      </c>
    </row>
    <row r="215" spans="1:10" x14ac:dyDescent="0.3">
      <c r="A215" t="s">
        <v>10</v>
      </c>
      <c r="B215" s="14" t="s">
        <v>598</v>
      </c>
      <c r="C215">
        <v>4100000</v>
      </c>
      <c r="D215">
        <v>0</v>
      </c>
      <c r="E215">
        <v>0</v>
      </c>
      <c r="F215">
        <v>0</v>
      </c>
      <c r="G215">
        <v>0</v>
      </c>
      <c r="H215">
        <v>0</v>
      </c>
      <c r="I215">
        <v>0</v>
      </c>
      <c r="J215" t="s">
        <v>848</v>
      </c>
    </row>
    <row r="216" spans="1:10" x14ac:dyDescent="0.3">
      <c r="A216" t="s">
        <v>10</v>
      </c>
      <c r="B216" s="14" t="s">
        <v>99</v>
      </c>
      <c r="C216">
        <v>4900000</v>
      </c>
      <c r="D216">
        <v>10</v>
      </c>
      <c r="E216">
        <v>0</v>
      </c>
      <c r="F216">
        <v>4</v>
      </c>
      <c r="G216">
        <v>7</v>
      </c>
      <c r="H216">
        <v>0</v>
      </c>
      <c r="I216">
        <v>0</v>
      </c>
      <c r="J216" t="s">
        <v>843</v>
      </c>
    </row>
    <row r="217" spans="1:10" x14ac:dyDescent="0.3">
      <c r="A217" t="s">
        <v>10</v>
      </c>
      <c r="B217" s="14" t="s">
        <v>594</v>
      </c>
      <c r="C217">
        <v>9000000</v>
      </c>
      <c r="D217">
        <v>0</v>
      </c>
      <c r="E217">
        <v>0</v>
      </c>
      <c r="F217">
        <v>0</v>
      </c>
      <c r="G217">
        <v>0</v>
      </c>
      <c r="H217">
        <v>0</v>
      </c>
      <c r="I217">
        <v>0</v>
      </c>
      <c r="J217" t="s">
        <v>848</v>
      </c>
    </row>
    <row r="218" spans="1:10" x14ac:dyDescent="0.3">
      <c r="A218" t="s">
        <v>10</v>
      </c>
      <c r="B218" s="14" t="s">
        <v>329</v>
      </c>
      <c r="C218">
        <v>4900000</v>
      </c>
      <c r="D218">
        <v>1</v>
      </c>
      <c r="E218">
        <v>0</v>
      </c>
      <c r="F218">
        <v>0</v>
      </c>
      <c r="G218">
        <v>1</v>
      </c>
      <c r="H218">
        <v>0</v>
      </c>
      <c r="I218">
        <v>0</v>
      </c>
      <c r="J218" t="s">
        <v>843</v>
      </c>
    </row>
    <row r="219" spans="1:10" x14ac:dyDescent="0.3">
      <c r="A219" t="s">
        <v>10</v>
      </c>
      <c r="B219" s="14" t="s">
        <v>330</v>
      </c>
      <c r="C219">
        <v>4500000</v>
      </c>
      <c r="D219">
        <v>1</v>
      </c>
      <c r="E219">
        <v>0</v>
      </c>
      <c r="F219">
        <v>0</v>
      </c>
      <c r="G219">
        <v>0</v>
      </c>
      <c r="H219">
        <v>0</v>
      </c>
      <c r="I219">
        <v>0</v>
      </c>
      <c r="J219" t="s">
        <v>843</v>
      </c>
    </row>
    <row r="220" spans="1:10" x14ac:dyDescent="0.3">
      <c r="A220" t="s">
        <v>10</v>
      </c>
      <c r="B220" s="14" t="s">
        <v>595</v>
      </c>
      <c r="C220">
        <v>4100000</v>
      </c>
      <c r="D220">
        <v>0</v>
      </c>
      <c r="E220">
        <v>0</v>
      </c>
      <c r="F220">
        <v>0</v>
      </c>
      <c r="G220">
        <v>0</v>
      </c>
      <c r="H220">
        <v>0</v>
      </c>
      <c r="I220">
        <v>0</v>
      </c>
      <c r="J220" t="s">
        <v>848</v>
      </c>
    </row>
    <row r="221" spans="1:10" x14ac:dyDescent="0.3">
      <c r="A221" t="s">
        <v>10</v>
      </c>
      <c r="B221" s="14" t="s">
        <v>111</v>
      </c>
      <c r="C221">
        <v>4900000</v>
      </c>
      <c r="D221">
        <v>5</v>
      </c>
      <c r="E221">
        <v>1</v>
      </c>
      <c r="F221">
        <v>4</v>
      </c>
      <c r="G221">
        <v>6</v>
      </c>
      <c r="H221">
        <v>0</v>
      </c>
      <c r="I221">
        <v>0</v>
      </c>
      <c r="J221" t="s">
        <v>843</v>
      </c>
    </row>
    <row r="222" spans="1:10" x14ac:dyDescent="0.3">
      <c r="A222" t="s">
        <v>10</v>
      </c>
      <c r="B222" s="14" t="s">
        <v>596</v>
      </c>
      <c r="C222">
        <v>4900000</v>
      </c>
      <c r="D222">
        <v>2</v>
      </c>
      <c r="E222">
        <v>0</v>
      </c>
      <c r="F222">
        <v>0</v>
      </c>
      <c r="G222">
        <v>0</v>
      </c>
      <c r="H222">
        <v>0</v>
      </c>
      <c r="I222">
        <v>0</v>
      </c>
      <c r="J222" t="s">
        <v>843</v>
      </c>
    </row>
    <row r="223" spans="1:10" x14ac:dyDescent="0.3">
      <c r="A223" t="s">
        <v>10</v>
      </c>
      <c r="B223" s="14" t="s">
        <v>599</v>
      </c>
      <c r="C223">
        <v>5600000</v>
      </c>
      <c r="D223">
        <v>0</v>
      </c>
      <c r="E223">
        <v>0</v>
      </c>
      <c r="F223">
        <v>0</v>
      </c>
      <c r="G223">
        <v>0</v>
      </c>
      <c r="H223">
        <v>0</v>
      </c>
      <c r="I223">
        <v>0</v>
      </c>
      <c r="J223" t="s">
        <v>848</v>
      </c>
    </row>
    <row r="224" spans="1:10" x14ac:dyDescent="0.3">
      <c r="A224" t="s">
        <v>10</v>
      </c>
      <c r="B224" s="14" t="s">
        <v>600</v>
      </c>
      <c r="C224">
        <v>8000000</v>
      </c>
      <c r="D224">
        <v>0</v>
      </c>
      <c r="E224">
        <v>0</v>
      </c>
      <c r="F224">
        <v>0</v>
      </c>
      <c r="G224">
        <v>0</v>
      </c>
      <c r="H224">
        <v>0</v>
      </c>
      <c r="I224">
        <v>0</v>
      </c>
      <c r="J224" t="s">
        <v>848</v>
      </c>
    </row>
    <row r="225" spans="1:10" x14ac:dyDescent="0.3">
      <c r="A225" t="s">
        <v>10</v>
      </c>
      <c r="B225" s="14" t="s">
        <v>331</v>
      </c>
      <c r="C225">
        <v>5800000</v>
      </c>
      <c r="D225">
        <v>0</v>
      </c>
      <c r="E225">
        <v>0</v>
      </c>
      <c r="F225">
        <v>0</v>
      </c>
      <c r="G225">
        <v>1</v>
      </c>
      <c r="H225">
        <v>0</v>
      </c>
      <c r="I225">
        <v>0</v>
      </c>
      <c r="J225" t="s">
        <v>848</v>
      </c>
    </row>
    <row r="226" spans="1:10" x14ac:dyDescent="0.3">
      <c r="A226" t="s">
        <v>10</v>
      </c>
      <c r="B226" s="14" t="s">
        <v>601</v>
      </c>
      <c r="C226">
        <v>3800000</v>
      </c>
      <c r="D226">
        <v>0</v>
      </c>
      <c r="E226">
        <v>0</v>
      </c>
      <c r="F226">
        <v>0</v>
      </c>
      <c r="G226">
        <v>0</v>
      </c>
      <c r="H226">
        <v>0</v>
      </c>
      <c r="I226">
        <v>0</v>
      </c>
      <c r="J226" t="s">
        <v>848</v>
      </c>
    </row>
    <row r="227" spans="1:10" x14ac:dyDescent="0.3">
      <c r="A227" t="s">
        <v>10</v>
      </c>
      <c r="B227" s="14" t="s">
        <v>66</v>
      </c>
      <c r="C227">
        <v>4200000</v>
      </c>
      <c r="D227">
        <v>28</v>
      </c>
      <c r="E227">
        <v>0</v>
      </c>
      <c r="F227">
        <v>7</v>
      </c>
      <c r="G227">
        <v>14</v>
      </c>
      <c r="H227">
        <v>0</v>
      </c>
      <c r="I227">
        <v>0</v>
      </c>
      <c r="J227" t="s">
        <v>843</v>
      </c>
    </row>
    <row r="228" spans="1:10" x14ac:dyDescent="0.3">
      <c r="A228" t="s">
        <v>10</v>
      </c>
      <c r="B228" s="14" t="s">
        <v>908</v>
      </c>
      <c r="C228">
        <v>6500000</v>
      </c>
      <c r="D228">
        <v>7</v>
      </c>
      <c r="E228">
        <v>0</v>
      </c>
      <c r="F228">
        <v>1</v>
      </c>
      <c r="G228">
        <v>2</v>
      </c>
      <c r="H228">
        <v>0</v>
      </c>
      <c r="I228">
        <v>0</v>
      </c>
      <c r="J228" t="s">
        <v>843</v>
      </c>
    </row>
    <row r="229" spans="1:10" x14ac:dyDescent="0.3">
      <c r="A229" t="s">
        <v>10</v>
      </c>
      <c r="B229" s="14" t="s">
        <v>909</v>
      </c>
      <c r="C229">
        <v>4200000</v>
      </c>
      <c r="D229">
        <v>25</v>
      </c>
      <c r="E229">
        <v>1</v>
      </c>
      <c r="F229">
        <v>6</v>
      </c>
      <c r="G229">
        <v>11</v>
      </c>
      <c r="H229">
        <v>0</v>
      </c>
      <c r="I229">
        <v>0</v>
      </c>
      <c r="J229" t="s">
        <v>843</v>
      </c>
    </row>
    <row r="230" spans="1:10" x14ac:dyDescent="0.3">
      <c r="A230" t="s">
        <v>10</v>
      </c>
      <c r="B230" s="14" t="s">
        <v>604</v>
      </c>
      <c r="C230">
        <v>8000000</v>
      </c>
      <c r="D230">
        <v>0</v>
      </c>
      <c r="E230">
        <v>0</v>
      </c>
      <c r="F230">
        <v>0</v>
      </c>
      <c r="G230">
        <v>0</v>
      </c>
      <c r="H230">
        <v>0</v>
      </c>
      <c r="I230">
        <v>0</v>
      </c>
      <c r="J230" t="s">
        <v>848</v>
      </c>
    </row>
    <row r="231" spans="1:10" x14ac:dyDescent="0.3">
      <c r="A231" t="s">
        <v>10</v>
      </c>
      <c r="B231" s="14" t="s">
        <v>605</v>
      </c>
      <c r="C231">
        <v>5500000</v>
      </c>
      <c r="D231">
        <v>1</v>
      </c>
      <c r="E231">
        <v>0</v>
      </c>
      <c r="F231">
        <v>0</v>
      </c>
      <c r="G231">
        <v>0</v>
      </c>
      <c r="H231">
        <v>0</v>
      </c>
      <c r="I231">
        <v>0</v>
      </c>
      <c r="J231" t="s">
        <v>843</v>
      </c>
    </row>
    <row r="232" spans="1:10" x14ac:dyDescent="0.3">
      <c r="A232" t="s">
        <v>10</v>
      </c>
      <c r="B232" s="14" t="s">
        <v>606</v>
      </c>
      <c r="C232">
        <v>3650000</v>
      </c>
      <c r="D232">
        <v>0</v>
      </c>
      <c r="E232">
        <v>0</v>
      </c>
      <c r="F232">
        <v>0</v>
      </c>
      <c r="G232">
        <v>0</v>
      </c>
      <c r="H232">
        <v>0</v>
      </c>
      <c r="I232">
        <v>0</v>
      </c>
      <c r="J232" t="s">
        <v>848</v>
      </c>
    </row>
    <row r="233" spans="1:10" x14ac:dyDescent="0.3">
      <c r="A233" t="s">
        <v>10</v>
      </c>
      <c r="B233" s="14" t="s">
        <v>607</v>
      </c>
      <c r="C233">
        <v>8000000</v>
      </c>
      <c r="D233">
        <v>0</v>
      </c>
      <c r="E233">
        <v>0</v>
      </c>
      <c r="F233">
        <v>0</v>
      </c>
      <c r="G233">
        <v>0</v>
      </c>
      <c r="H233">
        <v>0</v>
      </c>
      <c r="I233">
        <v>0</v>
      </c>
      <c r="J233" t="s">
        <v>848</v>
      </c>
    </row>
    <row r="234" spans="1:10" x14ac:dyDescent="0.3">
      <c r="A234" t="s">
        <v>10</v>
      </c>
      <c r="B234" s="14" t="s">
        <v>239</v>
      </c>
      <c r="C234">
        <v>3800000</v>
      </c>
      <c r="D234">
        <v>2</v>
      </c>
      <c r="E234">
        <v>0</v>
      </c>
      <c r="F234">
        <v>0</v>
      </c>
      <c r="G234">
        <v>2</v>
      </c>
      <c r="H234">
        <v>0</v>
      </c>
      <c r="I234">
        <v>0</v>
      </c>
      <c r="J234" t="s">
        <v>843</v>
      </c>
    </row>
    <row r="235" spans="1:10" x14ac:dyDescent="0.3">
      <c r="A235" t="s">
        <v>10</v>
      </c>
      <c r="B235" s="14" t="s">
        <v>608</v>
      </c>
      <c r="C235">
        <v>3400000</v>
      </c>
      <c r="D235">
        <v>0</v>
      </c>
      <c r="E235">
        <v>0</v>
      </c>
      <c r="F235">
        <v>0</v>
      </c>
      <c r="G235">
        <v>0</v>
      </c>
      <c r="H235">
        <v>0</v>
      </c>
      <c r="I235">
        <v>0</v>
      </c>
      <c r="J235" t="s">
        <v>848</v>
      </c>
    </row>
    <row r="236" spans="1:10" x14ac:dyDescent="0.3">
      <c r="A236" t="s">
        <v>10</v>
      </c>
      <c r="B236" s="14" t="s">
        <v>83</v>
      </c>
      <c r="C236">
        <v>4200000</v>
      </c>
      <c r="D236">
        <v>30</v>
      </c>
      <c r="E236">
        <v>2</v>
      </c>
      <c r="F236">
        <v>4</v>
      </c>
      <c r="G236">
        <v>14</v>
      </c>
      <c r="H236">
        <v>0</v>
      </c>
      <c r="I236">
        <v>0</v>
      </c>
      <c r="J236" t="s">
        <v>843</v>
      </c>
    </row>
    <row r="237" spans="1:10" x14ac:dyDescent="0.3">
      <c r="A237" t="s">
        <v>10</v>
      </c>
      <c r="B237" s="14" t="s">
        <v>602</v>
      </c>
      <c r="C237">
        <v>8000000</v>
      </c>
      <c r="D237">
        <v>0</v>
      </c>
      <c r="E237">
        <v>0</v>
      </c>
      <c r="F237">
        <v>0</v>
      </c>
      <c r="G237">
        <v>0</v>
      </c>
      <c r="H237">
        <v>0</v>
      </c>
      <c r="I237">
        <v>0</v>
      </c>
      <c r="J237" t="s">
        <v>848</v>
      </c>
    </row>
    <row r="238" spans="1:10" x14ac:dyDescent="0.3">
      <c r="A238" t="s">
        <v>10</v>
      </c>
      <c r="B238" s="14" t="s">
        <v>332</v>
      </c>
      <c r="C238">
        <v>5500000</v>
      </c>
      <c r="D238">
        <v>0</v>
      </c>
      <c r="E238">
        <v>0</v>
      </c>
      <c r="F238">
        <v>0</v>
      </c>
      <c r="G238">
        <v>0</v>
      </c>
      <c r="H238">
        <v>0</v>
      </c>
      <c r="I238">
        <v>0</v>
      </c>
      <c r="J238" t="s">
        <v>848</v>
      </c>
    </row>
    <row r="239" spans="1:10" x14ac:dyDescent="0.3">
      <c r="A239" t="s">
        <v>10</v>
      </c>
      <c r="B239" s="14" t="s">
        <v>423</v>
      </c>
      <c r="C239">
        <v>3800000</v>
      </c>
      <c r="D239">
        <v>1</v>
      </c>
      <c r="E239">
        <v>0</v>
      </c>
      <c r="F239">
        <v>0</v>
      </c>
      <c r="G239">
        <v>0</v>
      </c>
      <c r="H239">
        <v>0</v>
      </c>
      <c r="I239">
        <v>0</v>
      </c>
      <c r="J239" t="s">
        <v>843</v>
      </c>
    </row>
    <row r="240" spans="1:10" x14ac:dyDescent="0.3">
      <c r="A240" t="s">
        <v>10</v>
      </c>
      <c r="B240" s="14" t="s">
        <v>603</v>
      </c>
      <c r="C240">
        <v>3400000</v>
      </c>
      <c r="D240">
        <v>0</v>
      </c>
      <c r="E240">
        <v>0</v>
      </c>
      <c r="F240">
        <v>0</v>
      </c>
      <c r="G240">
        <v>0</v>
      </c>
      <c r="H240">
        <v>0</v>
      </c>
      <c r="I240">
        <v>0</v>
      </c>
      <c r="J240" t="s">
        <v>848</v>
      </c>
    </row>
    <row r="241" spans="1:10" x14ac:dyDescent="0.3">
      <c r="A241" t="s">
        <v>10</v>
      </c>
      <c r="B241" s="14" t="s">
        <v>72</v>
      </c>
      <c r="C241">
        <v>4200000</v>
      </c>
      <c r="D241">
        <v>37</v>
      </c>
      <c r="E241">
        <v>0</v>
      </c>
      <c r="F241">
        <v>3</v>
      </c>
      <c r="G241">
        <v>17</v>
      </c>
      <c r="H241">
        <v>0</v>
      </c>
      <c r="I241">
        <v>0</v>
      </c>
      <c r="J241" t="s">
        <v>843</v>
      </c>
    </row>
    <row r="242" spans="1:10" x14ac:dyDescent="0.3">
      <c r="A242" t="s">
        <v>10</v>
      </c>
      <c r="B242" s="14" t="s">
        <v>609</v>
      </c>
      <c r="C242">
        <v>8950000</v>
      </c>
      <c r="D242">
        <v>1</v>
      </c>
      <c r="E242">
        <v>0</v>
      </c>
      <c r="F242">
        <v>0</v>
      </c>
      <c r="G242">
        <v>0</v>
      </c>
      <c r="H242">
        <v>0</v>
      </c>
      <c r="I242">
        <v>0</v>
      </c>
      <c r="J242" t="s">
        <v>843</v>
      </c>
    </row>
    <row r="243" spans="1:10" x14ac:dyDescent="0.3">
      <c r="A243" t="s">
        <v>10</v>
      </c>
      <c r="B243" s="14" t="s">
        <v>610</v>
      </c>
      <c r="C243">
        <v>6600000</v>
      </c>
      <c r="D243">
        <v>0</v>
      </c>
      <c r="E243">
        <v>0</v>
      </c>
      <c r="F243">
        <v>0</v>
      </c>
      <c r="G243">
        <v>0</v>
      </c>
      <c r="H243">
        <v>0</v>
      </c>
      <c r="I243">
        <v>0</v>
      </c>
      <c r="J243" t="s">
        <v>848</v>
      </c>
    </row>
    <row r="244" spans="1:10" x14ac:dyDescent="0.3">
      <c r="A244" t="s">
        <v>10</v>
      </c>
      <c r="B244" s="14" t="s">
        <v>240</v>
      </c>
      <c r="C244">
        <v>7600000</v>
      </c>
      <c r="D244">
        <v>1</v>
      </c>
      <c r="E244">
        <v>0</v>
      </c>
      <c r="F244">
        <v>2</v>
      </c>
      <c r="G244">
        <v>2</v>
      </c>
      <c r="H244">
        <v>0</v>
      </c>
      <c r="I244">
        <v>1</v>
      </c>
      <c r="J244" t="s">
        <v>843</v>
      </c>
    </row>
    <row r="245" spans="1:10" x14ac:dyDescent="0.3">
      <c r="A245" t="s">
        <v>10</v>
      </c>
      <c r="B245" s="14" t="s">
        <v>910</v>
      </c>
      <c r="C245">
        <v>7600000</v>
      </c>
      <c r="D245">
        <v>11</v>
      </c>
      <c r="E245">
        <v>3</v>
      </c>
      <c r="F245">
        <v>10</v>
      </c>
      <c r="G245">
        <v>20</v>
      </c>
      <c r="H245">
        <v>0</v>
      </c>
      <c r="I245">
        <v>14</v>
      </c>
      <c r="J245" t="s">
        <v>843</v>
      </c>
    </row>
    <row r="246" spans="1:10" x14ac:dyDescent="0.3">
      <c r="A246" t="s">
        <v>10</v>
      </c>
      <c r="B246" s="14" t="s">
        <v>241</v>
      </c>
      <c r="C246">
        <v>7100000</v>
      </c>
      <c r="D246">
        <v>1</v>
      </c>
      <c r="E246">
        <v>0</v>
      </c>
      <c r="F246">
        <v>1</v>
      </c>
      <c r="G246">
        <v>1</v>
      </c>
      <c r="H246">
        <v>0</v>
      </c>
      <c r="I246">
        <v>0</v>
      </c>
      <c r="J246" t="s">
        <v>843</v>
      </c>
    </row>
    <row r="247" spans="1:10" x14ac:dyDescent="0.3">
      <c r="A247" t="s">
        <v>10</v>
      </c>
      <c r="B247" s="14" t="s">
        <v>146</v>
      </c>
      <c r="C247">
        <v>7600000</v>
      </c>
      <c r="D247">
        <v>5</v>
      </c>
      <c r="E247">
        <v>1</v>
      </c>
      <c r="F247">
        <v>3</v>
      </c>
      <c r="G247">
        <v>1</v>
      </c>
      <c r="H247">
        <v>0</v>
      </c>
      <c r="I247">
        <v>3</v>
      </c>
      <c r="J247" t="s">
        <v>843</v>
      </c>
    </row>
    <row r="248" spans="1:10" x14ac:dyDescent="0.3">
      <c r="A248" t="s">
        <v>10</v>
      </c>
      <c r="B248" s="14" t="s">
        <v>617</v>
      </c>
      <c r="C248">
        <v>8950000</v>
      </c>
      <c r="D248">
        <v>1</v>
      </c>
      <c r="E248">
        <v>0</v>
      </c>
      <c r="F248">
        <v>0</v>
      </c>
      <c r="G248">
        <v>0</v>
      </c>
      <c r="H248">
        <v>0</v>
      </c>
      <c r="I248">
        <v>0</v>
      </c>
      <c r="J248" t="s">
        <v>843</v>
      </c>
    </row>
    <row r="249" spans="1:10" x14ac:dyDescent="0.3">
      <c r="A249" t="s">
        <v>10</v>
      </c>
      <c r="B249" s="14" t="s">
        <v>424</v>
      </c>
      <c r="D249">
        <v>0</v>
      </c>
      <c r="E249">
        <v>0</v>
      </c>
      <c r="F249">
        <v>0</v>
      </c>
      <c r="G249">
        <v>0</v>
      </c>
      <c r="H249">
        <v>0</v>
      </c>
      <c r="I249">
        <v>0</v>
      </c>
      <c r="J249" t="s">
        <v>848</v>
      </c>
    </row>
    <row r="250" spans="1:10" x14ac:dyDescent="0.3">
      <c r="A250" t="s">
        <v>10</v>
      </c>
      <c r="B250" s="14" t="s">
        <v>425</v>
      </c>
      <c r="C250">
        <v>6600000</v>
      </c>
      <c r="D250">
        <v>0</v>
      </c>
      <c r="E250">
        <v>-1</v>
      </c>
      <c r="F250">
        <v>0</v>
      </c>
      <c r="G250">
        <v>0</v>
      </c>
      <c r="H250">
        <v>0</v>
      </c>
      <c r="I250">
        <v>0</v>
      </c>
      <c r="J250" t="s">
        <v>848</v>
      </c>
    </row>
    <row r="251" spans="1:10" x14ac:dyDescent="0.3">
      <c r="A251" t="s">
        <v>10</v>
      </c>
      <c r="B251" s="14" t="s">
        <v>242</v>
      </c>
      <c r="C251">
        <v>7600000</v>
      </c>
      <c r="D251">
        <v>0</v>
      </c>
      <c r="E251">
        <v>-1</v>
      </c>
      <c r="F251">
        <v>-1</v>
      </c>
      <c r="G251">
        <v>0</v>
      </c>
      <c r="H251">
        <v>0</v>
      </c>
      <c r="I251">
        <v>0</v>
      </c>
      <c r="J251" t="s">
        <v>848</v>
      </c>
    </row>
    <row r="252" spans="1:10" x14ac:dyDescent="0.3">
      <c r="A252" t="s">
        <v>10</v>
      </c>
      <c r="B252" s="14" t="s">
        <v>611</v>
      </c>
      <c r="C252">
        <v>8800000</v>
      </c>
      <c r="D252">
        <v>0</v>
      </c>
      <c r="E252">
        <v>0</v>
      </c>
      <c r="F252">
        <v>0</v>
      </c>
      <c r="G252">
        <v>0</v>
      </c>
      <c r="H252">
        <v>0</v>
      </c>
      <c r="I252">
        <v>0</v>
      </c>
      <c r="J252" t="s">
        <v>848</v>
      </c>
    </row>
    <row r="253" spans="1:10" x14ac:dyDescent="0.3">
      <c r="A253" t="s">
        <v>10</v>
      </c>
      <c r="B253" s="14" t="s">
        <v>613</v>
      </c>
      <c r="C253">
        <v>7100000</v>
      </c>
      <c r="D253">
        <v>1</v>
      </c>
      <c r="E253">
        <v>0</v>
      </c>
      <c r="F253">
        <v>0</v>
      </c>
      <c r="G253">
        <v>0</v>
      </c>
      <c r="H253">
        <v>0</v>
      </c>
      <c r="I253">
        <v>0</v>
      </c>
      <c r="J253" t="s">
        <v>843</v>
      </c>
    </row>
    <row r="254" spans="1:10" x14ac:dyDescent="0.3">
      <c r="A254" t="s">
        <v>10</v>
      </c>
      <c r="B254" s="14" t="s">
        <v>614</v>
      </c>
      <c r="C254">
        <v>6600000</v>
      </c>
      <c r="D254">
        <v>0</v>
      </c>
      <c r="E254">
        <v>0</v>
      </c>
      <c r="F254">
        <v>0</v>
      </c>
      <c r="G254">
        <v>0</v>
      </c>
      <c r="H254">
        <v>0</v>
      </c>
      <c r="I254">
        <v>0</v>
      </c>
      <c r="J254" t="s">
        <v>848</v>
      </c>
    </row>
    <row r="255" spans="1:10" x14ac:dyDescent="0.3">
      <c r="A255" t="s">
        <v>10</v>
      </c>
      <c r="B255" s="14" t="s">
        <v>612</v>
      </c>
      <c r="C255">
        <v>7600000</v>
      </c>
      <c r="D255">
        <v>1</v>
      </c>
      <c r="E255">
        <v>0</v>
      </c>
      <c r="F255">
        <v>0</v>
      </c>
      <c r="G255">
        <v>0</v>
      </c>
      <c r="H255">
        <v>0</v>
      </c>
      <c r="I255">
        <v>0</v>
      </c>
      <c r="J255" t="s">
        <v>843</v>
      </c>
    </row>
    <row r="256" spans="1:10" x14ac:dyDescent="0.3">
      <c r="A256" t="s">
        <v>10</v>
      </c>
      <c r="B256" s="14" t="s">
        <v>615</v>
      </c>
      <c r="C256">
        <v>12000000</v>
      </c>
      <c r="D256">
        <v>0</v>
      </c>
      <c r="E256">
        <v>0</v>
      </c>
      <c r="F256">
        <v>0</v>
      </c>
      <c r="G256">
        <v>0</v>
      </c>
      <c r="H256">
        <v>0</v>
      </c>
      <c r="I256">
        <v>0</v>
      </c>
      <c r="J256" t="s">
        <v>848</v>
      </c>
    </row>
    <row r="257" spans="1:10" x14ac:dyDescent="0.3">
      <c r="A257" t="s">
        <v>10</v>
      </c>
      <c r="B257" s="14" t="s">
        <v>333</v>
      </c>
      <c r="C257">
        <v>7100000</v>
      </c>
      <c r="D257">
        <v>1</v>
      </c>
      <c r="E257">
        <v>1</v>
      </c>
      <c r="F257">
        <v>1</v>
      </c>
      <c r="G257">
        <v>1</v>
      </c>
      <c r="H257">
        <v>0</v>
      </c>
      <c r="I257">
        <v>0</v>
      </c>
      <c r="J257" t="s">
        <v>843</v>
      </c>
    </row>
    <row r="258" spans="1:10" x14ac:dyDescent="0.3">
      <c r="A258" t="s">
        <v>10</v>
      </c>
      <c r="B258" s="14" t="s">
        <v>616</v>
      </c>
      <c r="C258">
        <v>6600000</v>
      </c>
      <c r="D258">
        <v>1</v>
      </c>
      <c r="E258">
        <v>0</v>
      </c>
      <c r="F258">
        <v>0</v>
      </c>
      <c r="G258">
        <v>0</v>
      </c>
      <c r="H258">
        <v>0</v>
      </c>
      <c r="I258">
        <v>0</v>
      </c>
      <c r="J258" t="s">
        <v>843</v>
      </c>
    </row>
    <row r="259" spans="1:10" x14ac:dyDescent="0.3">
      <c r="A259" t="s">
        <v>10</v>
      </c>
      <c r="B259" s="14" t="s">
        <v>243</v>
      </c>
      <c r="C259">
        <v>7800000</v>
      </c>
      <c r="D259">
        <v>0</v>
      </c>
      <c r="E259">
        <v>0</v>
      </c>
      <c r="F259">
        <v>0</v>
      </c>
      <c r="G259">
        <v>2</v>
      </c>
      <c r="H259">
        <v>0</v>
      </c>
      <c r="I259">
        <v>0</v>
      </c>
      <c r="J259" t="s">
        <v>848</v>
      </c>
    </row>
    <row r="260" spans="1:10" x14ac:dyDescent="0.3">
      <c r="A260" t="s">
        <v>10</v>
      </c>
      <c r="B260" s="14" t="s">
        <v>334</v>
      </c>
      <c r="C260">
        <v>7300000</v>
      </c>
      <c r="D260">
        <v>0</v>
      </c>
      <c r="E260">
        <v>0</v>
      </c>
      <c r="F260">
        <v>0</v>
      </c>
      <c r="G260">
        <v>1</v>
      </c>
      <c r="H260">
        <v>0</v>
      </c>
      <c r="I260">
        <v>0</v>
      </c>
      <c r="J260" t="s">
        <v>848</v>
      </c>
    </row>
    <row r="261" spans="1:10" x14ac:dyDescent="0.3">
      <c r="A261" t="s">
        <v>10</v>
      </c>
      <c r="B261" s="14" t="s">
        <v>619</v>
      </c>
      <c r="C261">
        <v>6800000</v>
      </c>
      <c r="D261">
        <v>1</v>
      </c>
      <c r="E261">
        <v>0</v>
      </c>
      <c r="F261">
        <v>0</v>
      </c>
      <c r="G261">
        <v>0</v>
      </c>
      <c r="H261">
        <v>0</v>
      </c>
      <c r="I261">
        <v>0</v>
      </c>
      <c r="J261" t="s">
        <v>843</v>
      </c>
    </row>
    <row r="262" spans="1:10" x14ac:dyDescent="0.3">
      <c r="A262" t="s">
        <v>10</v>
      </c>
      <c r="B262" s="14" t="s">
        <v>618</v>
      </c>
      <c r="C262">
        <v>7800000</v>
      </c>
      <c r="D262">
        <v>0</v>
      </c>
      <c r="E262">
        <v>0</v>
      </c>
      <c r="F262">
        <v>0</v>
      </c>
      <c r="G262">
        <v>0</v>
      </c>
      <c r="H262">
        <v>0</v>
      </c>
      <c r="I262">
        <v>0</v>
      </c>
      <c r="J262" t="s">
        <v>848</v>
      </c>
    </row>
    <row r="263" spans="1:10" x14ac:dyDescent="0.3">
      <c r="A263" t="s">
        <v>10</v>
      </c>
      <c r="B263" s="14" t="s">
        <v>335</v>
      </c>
      <c r="C263">
        <v>6200000</v>
      </c>
      <c r="D263">
        <v>0</v>
      </c>
      <c r="E263">
        <v>0</v>
      </c>
      <c r="F263">
        <v>0</v>
      </c>
      <c r="G263">
        <v>1</v>
      </c>
      <c r="H263">
        <v>0</v>
      </c>
      <c r="I263">
        <v>0</v>
      </c>
      <c r="J263" t="s">
        <v>848</v>
      </c>
    </row>
    <row r="264" spans="1:10" x14ac:dyDescent="0.3">
      <c r="A264" t="s">
        <v>10</v>
      </c>
      <c r="B264" s="14" t="s">
        <v>621</v>
      </c>
      <c r="C264">
        <v>5700000</v>
      </c>
      <c r="D264">
        <v>0</v>
      </c>
      <c r="E264">
        <v>0</v>
      </c>
      <c r="F264">
        <v>0</v>
      </c>
      <c r="G264">
        <v>0</v>
      </c>
      <c r="H264">
        <v>0</v>
      </c>
      <c r="I264">
        <v>0</v>
      </c>
      <c r="J264" t="s">
        <v>848</v>
      </c>
    </row>
    <row r="265" spans="1:10" x14ac:dyDescent="0.3">
      <c r="A265" t="s">
        <v>10</v>
      </c>
      <c r="B265" s="14" t="s">
        <v>620</v>
      </c>
      <c r="C265">
        <v>6700000</v>
      </c>
      <c r="D265">
        <v>0</v>
      </c>
      <c r="E265">
        <v>0</v>
      </c>
      <c r="F265">
        <v>0</v>
      </c>
      <c r="G265">
        <v>0</v>
      </c>
      <c r="H265">
        <v>0</v>
      </c>
      <c r="I265">
        <v>1</v>
      </c>
      <c r="J265" t="s">
        <v>848</v>
      </c>
    </row>
    <row r="266" spans="1:10" x14ac:dyDescent="0.3">
      <c r="A266" t="s">
        <v>10</v>
      </c>
      <c r="B266" s="14" t="s">
        <v>911</v>
      </c>
      <c r="C266">
        <v>8000000</v>
      </c>
      <c r="D266">
        <v>3</v>
      </c>
      <c r="E266">
        <v>0</v>
      </c>
      <c r="F266">
        <v>0</v>
      </c>
      <c r="G266">
        <v>1</v>
      </c>
      <c r="H266">
        <v>0</v>
      </c>
      <c r="I266">
        <v>0</v>
      </c>
      <c r="J266" t="s">
        <v>843</v>
      </c>
    </row>
    <row r="267" spans="1:10" x14ac:dyDescent="0.3">
      <c r="A267" t="s">
        <v>10</v>
      </c>
      <c r="B267" s="14" t="s">
        <v>912</v>
      </c>
      <c r="C267">
        <v>6200000</v>
      </c>
      <c r="D267">
        <v>0</v>
      </c>
      <c r="E267">
        <v>0</v>
      </c>
      <c r="F267">
        <v>0</v>
      </c>
      <c r="G267">
        <v>0</v>
      </c>
      <c r="H267">
        <v>0</v>
      </c>
      <c r="I267">
        <v>0</v>
      </c>
      <c r="J267" t="s">
        <v>848</v>
      </c>
    </row>
    <row r="268" spans="1:10" x14ac:dyDescent="0.3">
      <c r="A268" t="s">
        <v>10</v>
      </c>
      <c r="B268" s="14" t="s">
        <v>625</v>
      </c>
      <c r="C268">
        <v>7500000</v>
      </c>
      <c r="D268">
        <v>0</v>
      </c>
      <c r="E268">
        <v>0</v>
      </c>
      <c r="F268">
        <v>0</v>
      </c>
      <c r="G268">
        <v>0</v>
      </c>
      <c r="H268">
        <v>0</v>
      </c>
      <c r="I268">
        <v>0</v>
      </c>
      <c r="J268" t="s">
        <v>848</v>
      </c>
    </row>
    <row r="269" spans="1:10" x14ac:dyDescent="0.3">
      <c r="A269" t="s">
        <v>10</v>
      </c>
      <c r="B269" s="14" t="s">
        <v>84</v>
      </c>
      <c r="C269">
        <v>6700000</v>
      </c>
      <c r="D269">
        <v>7</v>
      </c>
      <c r="E269">
        <v>2</v>
      </c>
      <c r="F269">
        <v>8</v>
      </c>
      <c r="G269">
        <v>15</v>
      </c>
      <c r="H269">
        <v>0</v>
      </c>
      <c r="I269">
        <v>9</v>
      </c>
      <c r="J269" t="s">
        <v>843</v>
      </c>
    </row>
    <row r="270" spans="1:10" x14ac:dyDescent="0.3">
      <c r="A270" t="s">
        <v>10</v>
      </c>
      <c r="B270" s="14" t="s">
        <v>626</v>
      </c>
      <c r="C270">
        <v>5800000</v>
      </c>
      <c r="D270">
        <v>0</v>
      </c>
      <c r="E270">
        <v>0</v>
      </c>
      <c r="F270">
        <v>0</v>
      </c>
      <c r="G270">
        <v>0</v>
      </c>
      <c r="H270">
        <v>0</v>
      </c>
      <c r="I270">
        <v>0</v>
      </c>
      <c r="J270" t="s">
        <v>848</v>
      </c>
    </row>
    <row r="271" spans="1:10" x14ac:dyDescent="0.3">
      <c r="A271" t="s">
        <v>10</v>
      </c>
      <c r="B271" s="14" t="s">
        <v>338</v>
      </c>
      <c r="C271">
        <v>7300000</v>
      </c>
      <c r="D271">
        <v>0</v>
      </c>
      <c r="E271">
        <v>0</v>
      </c>
      <c r="F271">
        <v>0</v>
      </c>
      <c r="G271">
        <v>1</v>
      </c>
      <c r="H271">
        <v>0</v>
      </c>
      <c r="I271">
        <v>0</v>
      </c>
      <c r="J271" t="s">
        <v>848</v>
      </c>
    </row>
    <row r="272" spans="1:10" x14ac:dyDescent="0.3">
      <c r="A272" t="s">
        <v>10</v>
      </c>
      <c r="B272" s="14" t="s">
        <v>244</v>
      </c>
      <c r="C272">
        <v>7500000</v>
      </c>
      <c r="D272">
        <v>1</v>
      </c>
      <c r="E272">
        <v>0</v>
      </c>
      <c r="F272">
        <v>0</v>
      </c>
      <c r="G272">
        <v>0</v>
      </c>
      <c r="H272">
        <v>0</v>
      </c>
      <c r="I272">
        <v>0</v>
      </c>
      <c r="J272" t="s">
        <v>843</v>
      </c>
    </row>
    <row r="273" spans="1:10" x14ac:dyDescent="0.3">
      <c r="A273" t="s">
        <v>10</v>
      </c>
      <c r="B273" s="14" t="s">
        <v>245</v>
      </c>
      <c r="C273">
        <v>6200000</v>
      </c>
      <c r="D273">
        <v>0</v>
      </c>
      <c r="E273">
        <v>0</v>
      </c>
      <c r="F273">
        <v>0</v>
      </c>
      <c r="G273">
        <v>0</v>
      </c>
      <c r="H273">
        <v>0</v>
      </c>
      <c r="I273">
        <v>0</v>
      </c>
      <c r="J273" t="s">
        <v>848</v>
      </c>
    </row>
    <row r="274" spans="1:10" x14ac:dyDescent="0.3">
      <c r="A274" t="s">
        <v>10</v>
      </c>
      <c r="B274" s="14" t="s">
        <v>161</v>
      </c>
      <c r="C274">
        <v>6700000</v>
      </c>
      <c r="D274">
        <v>1</v>
      </c>
      <c r="E274">
        <v>0</v>
      </c>
      <c r="F274">
        <v>3</v>
      </c>
      <c r="G274">
        <v>5</v>
      </c>
      <c r="H274">
        <v>0</v>
      </c>
      <c r="I274">
        <v>2</v>
      </c>
      <c r="J274" t="s">
        <v>843</v>
      </c>
    </row>
    <row r="275" spans="1:10" x14ac:dyDescent="0.3">
      <c r="A275" t="s">
        <v>10</v>
      </c>
      <c r="B275" s="14" t="s">
        <v>622</v>
      </c>
      <c r="C275">
        <v>11000000</v>
      </c>
      <c r="D275">
        <v>0</v>
      </c>
      <c r="E275">
        <v>0</v>
      </c>
      <c r="F275">
        <v>0</v>
      </c>
      <c r="G275">
        <v>0</v>
      </c>
      <c r="H275">
        <v>0</v>
      </c>
      <c r="I275">
        <v>0</v>
      </c>
      <c r="J275" t="s">
        <v>848</v>
      </c>
    </row>
    <row r="276" spans="1:10" x14ac:dyDescent="0.3">
      <c r="A276" t="s">
        <v>10</v>
      </c>
      <c r="B276" s="14" t="s">
        <v>186</v>
      </c>
      <c r="C276">
        <v>7500000</v>
      </c>
      <c r="D276">
        <v>0</v>
      </c>
      <c r="E276">
        <v>0</v>
      </c>
      <c r="F276">
        <v>0</v>
      </c>
      <c r="G276">
        <v>2</v>
      </c>
      <c r="H276">
        <v>0</v>
      </c>
      <c r="I276">
        <v>0</v>
      </c>
      <c r="J276" t="s">
        <v>848</v>
      </c>
    </row>
    <row r="277" spans="1:10" x14ac:dyDescent="0.3">
      <c r="A277" t="s">
        <v>10</v>
      </c>
      <c r="B277" s="14" t="s">
        <v>212</v>
      </c>
      <c r="C277">
        <v>6200000</v>
      </c>
      <c r="D277">
        <v>6</v>
      </c>
      <c r="E277">
        <v>1</v>
      </c>
      <c r="F277">
        <v>1</v>
      </c>
      <c r="G277">
        <v>1</v>
      </c>
      <c r="H277">
        <v>0</v>
      </c>
      <c r="I277">
        <v>0</v>
      </c>
      <c r="J277" t="s">
        <v>843</v>
      </c>
    </row>
    <row r="278" spans="1:10" x14ac:dyDescent="0.3">
      <c r="A278" t="s">
        <v>10</v>
      </c>
      <c r="B278" s="14" t="s">
        <v>623</v>
      </c>
      <c r="C278">
        <v>5700000</v>
      </c>
      <c r="D278">
        <v>1</v>
      </c>
      <c r="E278">
        <v>0</v>
      </c>
      <c r="F278">
        <v>0</v>
      </c>
      <c r="G278">
        <v>0</v>
      </c>
      <c r="H278">
        <v>0</v>
      </c>
      <c r="I278">
        <v>0</v>
      </c>
      <c r="J278" t="s">
        <v>843</v>
      </c>
    </row>
    <row r="279" spans="1:10" x14ac:dyDescent="0.3">
      <c r="A279" t="s">
        <v>10</v>
      </c>
      <c r="B279" s="14" t="s">
        <v>74</v>
      </c>
      <c r="C279">
        <v>6700000</v>
      </c>
      <c r="D279">
        <v>6</v>
      </c>
      <c r="E279">
        <v>2</v>
      </c>
      <c r="F279">
        <v>5</v>
      </c>
      <c r="G279">
        <v>9</v>
      </c>
      <c r="H279">
        <v>0</v>
      </c>
      <c r="I279">
        <v>12</v>
      </c>
      <c r="J279" t="s">
        <v>843</v>
      </c>
    </row>
    <row r="280" spans="1:10" x14ac:dyDescent="0.3">
      <c r="A280" t="s">
        <v>10</v>
      </c>
      <c r="B280" s="14" t="s">
        <v>624</v>
      </c>
      <c r="C280">
        <v>5800000</v>
      </c>
      <c r="D280">
        <v>0</v>
      </c>
      <c r="E280">
        <v>0</v>
      </c>
      <c r="F280">
        <v>0</v>
      </c>
      <c r="G280">
        <v>0</v>
      </c>
      <c r="H280">
        <v>0</v>
      </c>
      <c r="I280">
        <v>0</v>
      </c>
      <c r="J280" t="s">
        <v>848</v>
      </c>
    </row>
    <row r="281" spans="1:10" x14ac:dyDescent="0.3">
      <c r="A281" t="s">
        <v>10</v>
      </c>
      <c r="B281" s="14" t="s">
        <v>913</v>
      </c>
      <c r="C281">
        <v>6000000</v>
      </c>
      <c r="D281">
        <v>0</v>
      </c>
      <c r="E281">
        <v>0</v>
      </c>
      <c r="F281">
        <v>0</v>
      </c>
      <c r="G281">
        <v>0</v>
      </c>
      <c r="H281">
        <v>0</v>
      </c>
      <c r="I281">
        <v>0</v>
      </c>
      <c r="J281" t="s">
        <v>848</v>
      </c>
    </row>
    <row r="282" spans="1:10" x14ac:dyDescent="0.3">
      <c r="A282" t="s">
        <v>10</v>
      </c>
      <c r="B282" s="14" t="s">
        <v>628</v>
      </c>
      <c r="C282">
        <v>7000000</v>
      </c>
      <c r="D282">
        <v>1</v>
      </c>
      <c r="E282">
        <v>0</v>
      </c>
      <c r="F282">
        <v>0</v>
      </c>
      <c r="G282">
        <v>0</v>
      </c>
      <c r="H282">
        <v>0</v>
      </c>
      <c r="I282">
        <v>0</v>
      </c>
      <c r="J282" t="s">
        <v>843</v>
      </c>
    </row>
    <row r="283" spans="1:10" x14ac:dyDescent="0.3">
      <c r="A283" t="s">
        <v>10</v>
      </c>
      <c r="B283" s="14" t="s">
        <v>629</v>
      </c>
      <c r="C283">
        <v>7500000</v>
      </c>
      <c r="D283">
        <v>1</v>
      </c>
      <c r="E283">
        <v>0</v>
      </c>
      <c r="F283">
        <v>0</v>
      </c>
      <c r="G283">
        <v>0</v>
      </c>
      <c r="H283">
        <v>0</v>
      </c>
      <c r="I283">
        <v>0</v>
      </c>
      <c r="J283" t="s">
        <v>843</v>
      </c>
    </row>
    <row r="284" spans="1:10" x14ac:dyDescent="0.3">
      <c r="A284" t="s">
        <v>10</v>
      </c>
      <c r="B284" s="14" t="s">
        <v>914</v>
      </c>
      <c r="C284">
        <v>7500000</v>
      </c>
      <c r="D284">
        <v>18</v>
      </c>
      <c r="E284">
        <v>0</v>
      </c>
      <c r="F284">
        <v>1</v>
      </c>
      <c r="G284">
        <v>2</v>
      </c>
      <c r="H284">
        <v>0</v>
      </c>
      <c r="I284">
        <v>0</v>
      </c>
      <c r="J284" t="s">
        <v>843</v>
      </c>
    </row>
    <row r="285" spans="1:10" x14ac:dyDescent="0.3">
      <c r="A285" t="s">
        <v>10</v>
      </c>
      <c r="B285" s="14" t="s">
        <v>339</v>
      </c>
      <c r="C285">
        <v>5900000</v>
      </c>
      <c r="D285">
        <v>0</v>
      </c>
      <c r="E285">
        <v>0</v>
      </c>
      <c r="F285">
        <v>1</v>
      </c>
      <c r="G285">
        <v>1</v>
      </c>
      <c r="H285">
        <v>0</v>
      </c>
      <c r="I285">
        <v>0</v>
      </c>
      <c r="J285" t="s">
        <v>848</v>
      </c>
    </row>
    <row r="286" spans="1:10" x14ac:dyDescent="0.3">
      <c r="A286" t="s">
        <v>10</v>
      </c>
      <c r="B286" s="14" t="s">
        <v>75</v>
      </c>
      <c r="C286">
        <v>6400000</v>
      </c>
      <c r="D286">
        <v>58</v>
      </c>
      <c r="E286">
        <v>0</v>
      </c>
      <c r="F286">
        <v>6</v>
      </c>
      <c r="G286">
        <v>12</v>
      </c>
      <c r="H286">
        <v>8</v>
      </c>
      <c r="I286">
        <v>8</v>
      </c>
      <c r="J286" t="s">
        <v>843</v>
      </c>
    </row>
    <row r="287" spans="1:10" x14ac:dyDescent="0.3">
      <c r="A287" t="s">
        <v>10</v>
      </c>
      <c r="B287" s="14" t="s">
        <v>915</v>
      </c>
      <c r="C287">
        <v>6400000</v>
      </c>
      <c r="D287">
        <v>2</v>
      </c>
      <c r="E287">
        <v>0</v>
      </c>
      <c r="F287">
        <v>1</v>
      </c>
      <c r="G287">
        <v>2</v>
      </c>
      <c r="H287">
        <v>3</v>
      </c>
      <c r="I287">
        <v>3</v>
      </c>
      <c r="J287" t="s">
        <v>843</v>
      </c>
    </row>
    <row r="288" spans="1:10" x14ac:dyDescent="0.3">
      <c r="A288" t="s">
        <v>10</v>
      </c>
      <c r="B288" s="14" t="s">
        <v>915</v>
      </c>
      <c r="C288">
        <v>5400000</v>
      </c>
      <c r="D288">
        <v>1</v>
      </c>
      <c r="E288">
        <v>0</v>
      </c>
      <c r="F288">
        <v>0</v>
      </c>
      <c r="G288">
        <v>0</v>
      </c>
      <c r="H288">
        <v>0</v>
      </c>
      <c r="I288">
        <v>0</v>
      </c>
      <c r="J288" t="s">
        <v>843</v>
      </c>
    </row>
    <row r="289" spans="1:10" x14ac:dyDescent="0.3">
      <c r="A289" t="s">
        <v>10</v>
      </c>
      <c r="B289" s="14" t="s">
        <v>112</v>
      </c>
      <c r="C289">
        <v>7500000</v>
      </c>
      <c r="D289">
        <v>69</v>
      </c>
      <c r="E289">
        <v>0</v>
      </c>
      <c r="F289">
        <v>3</v>
      </c>
      <c r="G289">
        <v>8</v>
      </c>
      <c r="H289">
        <v>0</v>
      </c>
      <c r="I289">
        <v>0</v>
      </c>
      <c r="J289" t="s">
        <v>843</v>
      </c>
    </row>
    <row r="290" spans="1:10" x14ac:dyDescent="0.3">
      <c r="A290" t="s">
        <v>10</v>
      </c>
      <c r="B290" s="14" t="s">
        <v>630</v>
      </c>
      <c r="C290">
        <v>9900000</v>
      </c>
      <c r="D290">
        <v>1</v>
      </c>
      <c r="E290">
        <v>0</v>
      </c>
      <c r="F290">
        <v>0</v>
      </c>
      <c r="G290">
        <v>0</v>
      </c>
      <c r="H290">
        <v>0</v>
      </c>
      <c r="I290">
        <v>0</v>
      </c>
      <c r="J290" t="s">
        <v>843</v>
      </c>
    </row>
    <row r="291" spans="1:10" x14ac:dyDescent="0.3">
      <c r="A291" t="s">
        <v>10</v>
      </c>
      <c r="B291" s="14" t="s">
        <v>340</v>
      </c>
      <c r="C291">
        <v>5900000</v>
      </c>
      <c r="D291">
        <v>2</v>
      </c>
      <c r="E291">
        <v>0</v>
      </c>
      <c r="F291">
        <v>0</v>
      </c>
      <c r="G291">
        <v>1</v>
      </c>
      <c r="H291">
        <v>0</v>
      </c>
      <c r="I291">
        <v>0</v>
      </c>
      <c r="J291" t="s">
        <v>843</v>
      </c>
    </row>
    <row r="292" spans="1:10" x14ac:dyDescent="0.3">
      <c r="A292" t="s">
        <v>10</v>
      </c>
      <c r="B292" s="14" t="s">
        <v>48</v>
      </c>
      <c r="C292">
        <v>6400000</v>
      </c>
      <c r="D292">
        <v>101</v>
      </c>
      <c r="E292">
        <v>5</v>
      </c>
      <c r="F292">
        <v>16</v>
      </c>
      <c r="G292">
        <v>35</v>
      </c>
      <c r="H292">
        <v>4</v>
      </c>
      <c r="I292">
        <v>4</v>
      </c>
      <c r="J292" t="s">
        <v>843</v>
      </c>
    </row>
    <row r="293" spans="1:10" x14ac:dyDescent="0.3">
      <c r="A293" t="s">
        <v>10</v>
      </c>
      <c r="B293" s="14" t="s">
        <v>67</v>
      </c>
      <c r="C293">
        <v>6400000</v>
      </c>
      <c r="D293">
        <v>48</v>
      </c>
      <c r="E293">
        <v>3</v>
      </c>
      <c r="F293">
        <v>5</v>
      </c>
      <c r="G293">
        <v>14</v>
      </c>
      <c r="H293">
        <v>19</v>
      </c>
      <c r="I293">
        <v>19</v>
      </c>
      <c r="J293" t="s">
        <v>843</v>
      </c>
    </row>
    <row r="294" spans="1:10" x14ac:dyDescent="0.3">
      <c r="A294" t="s">
        <v>10</v>
      </c>
      <c r="B294" s="14" t="s">
        <v>187</v>
      </c>
      <c r="C294">
        <v>7500000</v>
      </c>
      <c r="D294">
        <v>20</v>
      </c>
      <c r="E294">
        <v>0</v>
      </c>
      <c r="F294">
        <v>-1</v>
      </c>
      <c r="G294">
        <v>-1</v>
      </c>
      <c r="H294">
        <v>0</v>
      </c>
      <c r="I294">
        <v>0</v>
      </c>
      <c r="J294" t="s">
        <v>843</v>
      </c>
    </row>
    <row r="295" spans="1:10" x14ac:dyDescent="0.3">
      <c r="A295" t="s">
        <v>10</v>
      </c>
      <c r="B295" s="14" t="s">
        <v>247</v>
      </c>
      <c r="C295">
        <v>10700000</v>
      </c>
      <c r="D295">
        <v>6</v>
      </c>
      <c r="E295">
        <v>0</v>
      </c>
      <c r="F295">
        <v>0</v>
      </c>
      <c r="G295">
        <v>0</v>
      </c>
      <c r="H295">
        <v>6</v>
      </c>
      <c r="I295">
        <v>6</v>
      </c>
      <c r="J295" t="s">
        <v>843</v>
      </c>
    </row>
    <row r="296" spans="1:10" x14ac:dyDescent="0.3">
      <c r="A296" t="s">
        <v>10</v>
      </c>
      <c r="B296" s="14" t="s">
        <v>916</v>
      </c>
      <c r="C296">
        <v>9400000</v>
      </c>
      <c r="D296">
        <v>0</v>
      </c>
      <c r="E296">
        <v>0</v>
      </c>
      <c r="F296">
        <v>0</v>
      </c>
      <c r="G296">
        <v>0</v>
      </c>
      <c r="H296">
        <v>0</v>
      </c>
      <c r="I296">
        <v>0</v>
      </c>
      <c r="J296" t="s">
        <v>848</v>
      </c>
    </row>
    <row r="297" spans="1:10" x14ac:dyDescent="0.3">
      <c r="A297" t="s">
        <v>10</v>
      </c>
      <c r="B297" s="14" t="s">
        <v>916</v>
      </c>
      <c r="C297">
        <v>10900000</v>
      </c>
      <c r="D297">
        <v>2</v>
      </c>
      <c r="E297">
        <v>0</v>
      </c>
      <c r="F297">
        <v>0</v>
      </c>
      <c r="G297">
        <v>0</v>
      </c>
      <c r="H297">
        <v>1</v>
      </c>
      <c r="I297">
        <v>1</v>
      </c>
      <c r="J297" t="s">
        <v>843</v>
      </c>
    </row>
    <row r="298" spans="1:10" x14ac:dyDescent="0.3">
      <c r="A298" t="s">
        <v>10</v>
      </c>
      <c r="B298" s="14" t="s">
        <v>631</v>
      </c>
      <c r="C298">
        <v>10200000</v>
      </c>
      <c r="D298">
        <v>2</v>
      </c>
      <c r="E298">
        <v>0</v>
      </c>
      <c r="F298">
        <v>0</v>
      </c>
      <c r="G298">
        <v>0</v>
      </c>
      <c r="H298">
        <v>0</v>
      </c>
      <c r="I298">
        <v>0</v>
      </c>
      <c r="J298" t="s">
        <v>843</v>
      </c>
    </row>
    <row r="299" spans="1:10" x14ac:dyDescent="0.3">
      <c r="A299" t="s">
        <v>10</v>
      </c>
      <c r="B299" s="14" t="s">
        <v>632</v>
      </c>
      <c r="C299">
        <v>9400000</v>
      </c>
      <c r="D299">
        <v>0</v>
      </c>
      <c r="E299">
        <v>0</v>
      </c>
      <c r="F299">
        <v>0</v>
      </c>
      <c r="G299">
        <v>0</v>
      </c>
      <c r="H299">
        <v>0</v>
      </c>
      <c r="I299">
        <v>0</v>
      </c>
      <c r="J299" t="s">
        <v>848</v>
      </c>
    </row>
    <row r="300" spans="1:10" x14ac:dyDescent="0.3">
      <c r="A300" t="s">
        <v>10</v>
      </c>
      <c r="B300" s="14" t="s">
        <v>248</v>
      </c>
      <c r="C300">
        <v>10900000</v>
      </c>
      <c r="D300">
        <v>15</v>
      </c>
      <c r="E300">
        <v>0</v>
      </c>
      <c r="F300">
        <v>1</v>
      </c>
      <c r="G300">
        <v>1</v>
      </c>
      <c r="H300">
        <v>7</v>
      </c>
      <c r="I300">
        <v>7</v>
      </c>
      <c r="J300" t="s">
        <v>843</v>
      </c>
    </row>
    <row r="301" spans="1:10" x14ac:dyDescent="0.3">
      <c r="A301" t="s">
        <v>10</v>
      </c>
      <c r="B301" s="14" t="s">
        <v>342</v>
      </c>
      <c r="C301">
        <v>13500000</v>
      </c>
      <c r="D301">
        <v>9</v>
      </c>
      <c r="E301">
        <v>0</v>
      </c>
      <c r="F301">
        <v>1</v>
      </c>
      <c r="G301">
        <v>1</v>
      </c>
      <c r="H301">
        <v>0</v>
      </c>
      <c r="I301">
        <v>0</v>
      </c>
      <c r="J301" t="s">
        <v>843</v>
      </c>
    </row>
    <row r="302" spans="1:10" x14ac:dyDescent="0.3">
      <c r="A302" t="s">
        <v>10</v>
      </c>
      <c r="B302" s="14" t="s">
        <v>633</v>
      </c>
      <c r="C302">
        <v>10000000</v>
      </c>
      <c r="D302">
        <v>1</v>
      </c>
      <c r="E302">
        <v>0</v>
      </c>
      <c r="F302">
        <v>0</v>
      </c>
      <c r="G302">
        <v>0</v>
      </c>
      <c r="H302">
        <v>0</v>
      </c>
      <c r="I302">
        <v>0</v>
      </c>
      <c r="J302" t="s">
        <v>843</v>
      </c>
    </row>
    <row r="303" spans="1:10" x14ac:dyDescent="0.3">
      <c r="A303" t="s">
        <v>10</v>
      </c>
      <c r="B303" s="14" t="s">
        <v>634</v>
      </c>
      <c r="C303">
        <v>9700000</v>
      </c>
      <c r="D303">
        <v>1</v>
      </c>
      <c r="E303">
        <v>0</v>
      </c>
      <c r="F303">
        <v>0</v>
      </c>
      <c r="G303">
        <v>0</v>
      </c>
      <c r="H303">
        <v>0</v>
      </c>
      <c r="I303">
        <v>0</v>
      </c>
      <c r="J303" t="s">
        <v>843</v>
      </c>
    </row>
    <row r="304" spans="1:10" x14ac:dyDescent="0.3">
      <c r="A304" t="s">
        <v>10</v>
      </c>
      <c r="B304" s="14" t="s">
        <v>97</v>
      </c>
      <c r="C304">
        <v>10700000</v>
      </c>
      <c r="D304">
        <v>22</v>
      </c>
      <c r="E304">
        <v>1</v>
      </c>
      <c r="F304">
        <v>6</v>
      </c>
      <c r="G304">
        <v>6</v>
      </c>
      <c r="H304">
        <v>12</v>
      </c>
      <c r="I304">
        <v>12</v>
      </c>
      <c r="J304" t="s">
        <v>843</v>
      </c>
    </row>
    <row r="305" spans="1:10" x14ac:dyDescent="0.3">
      <c r="A305" t="s">
        <v>10</v>
      </c>
      <c r="B305" s="14" t="s">
        <v>131</v>
      </c>
      <c r="C305">
        <v>9450000</v>
      </c>
      <c r="D305">
        <v>21</v>
      </c>
      <c r="E305">
        <v>0</v>
      </c>
      <c r="F305">
        <v>2</v>
      </c>
      <c r="G305">
        <v>6</v>
      </c>
      <c r="H305">
        <v>0</v>
      </c>
      <c r="I305">
        <v>13</v>
      </c>
      <c r="J305" t="s">
        <v>843</v>
      </c>
    </row>
    <row r="306" spans="1:10" x14ac:dyDescent="0.3">
      <c r="A306" t="s">
        <v>10</v>
      </c>
      <c r="B306" s="14" t="s">
        <v>917</v>
      </c>
      <c r="C306">
        <v>11300000</v>
      </c>
      <c r="D306">
        <v>1</v>
      </c>
      <c r="E306">
        <v>2</v>
      </c>
      <c r="F306">
        <v>3</v>
      </c>
      <c r="G306">
        <v>6</v>
      </c>
      <c r="H306">
        <v>0</v>
      </c>
      <c r="I306">
        <v>0</v>
      </c>
      <c r="J306" t="s">
        <v>843</v>
      </c>
    </row>
    <row r="307" spans="1:10" x14ac:dyDescent="0.3">
      <c r="A307" t="s">
        <v>10</v>
      </c>
      <c r="B307" s="14" t="s">
        <v>918</v>
      </c>
      <c r="C307">
        <v>8150000</v>
      </c>
      <c r="D307">
        <v>1</v>
      </c>
      <c r="E307">
        <v>1</v>
      </c>
      <c r="F307">
        <v>1</v>
      </c>
      <c r="G307">
        <v>1</v>
      </c>
      <c r="H307">
        <v>0</v>
      </c>
      <c r="I307">
        <v>0</v>
      </c>
      <c r="J307" t="s">
        <v>843</v>
      </c>
    </row>
    <row r="308" spans="1:10" x14ac:dyDescent="0.3">
      <c r="A308" t="s">
        <v>10</v>
      </c>
      <c r="B308" s="14" t="s">
        <v>918</v>
      </c>
      <c r="C308">
        <v>9650000</v>
      </c>
      <c r="D308">
        <v>5</v>
      </c>
      <c r="E308">
        <v>0</v>
      </c>
      <c r="F308">
        <v>0</v>
      </c>
      <c r="G308">
        <v>2</v>
      </c>
      <c r="H308">
        <v>0</v>
      </c>
      <c r="I308">
        <v>0</v>
      </c>
      <c r="J308" t="s">
        <v>843</v>
      </c>
    </row>
    <row r="309" spans="1:10" x14ac:dyDescent="0.3">
      <c r="A309" t="s">
        <v>10</v>
      </c>
      <c r="B309" s="14" t="s">
        <v>249</v>
      </c>
      <c r="C309">
        <v>8950000</v>
      </c>
      <c r="D309">
        <v>2</v>
      </c>
      <c r="E309">
        <v>0</v>
      </c>
      <c r="F309">
        <v>0</v>
      </c>
      <c r="G309">
        <v>1</v>
      </c>
      <c r="H309">
        <v>0</v>
      </c>
      <c r="I309">
        <v>0</v>
      </c>
      <c r="J309" t="s">
        <v>843</v>
      </c>
    </row>
    <row r="310" spans="1:10" x14ac:dyDescent="0.3">
      <c r="A310" t="s">
        <v>10</v>
      </c>
      <c r="B310" s="14" t="s">
        <v>105</v>
      </c>
      <c r="C310">
        <v>9650000</v>
      </c>
      <c r="D310">
        <v>21</v>
      </c>
      <c r="E310">
        <v>0</v>
      </c>
      <c r="F310">
        <v>5</v>
      </c>
      <c r="G310">
        <v>12</v>
      </c>
      <c r="H310">
        <v>1</v>
      </c>
      <c r="I310">
        <v>18</v>
      </c>
      <c r="J310" t="s">
        <v>843</v>
      </c>
    </row>
    <row r="311" spans="1:10" x14ac:dyDescent="0.3">
      <c r="A311" t="s">
        <v>10</v>
      </c>
      <c r="B311" s="14" t="s">
        <v>637</v>
      </c>
      <c r="C311">
        <v>10800000</v>
      </c>
      <c r="D311">
        <v>1</v>
      </c>
      <c r="E311">
        <v>0</v>
      </c>
      <c r="F311">
        <v>0</v>
      </c>
      <c r="G311">
        <v>0</v>
      </c>
      <c r="H311">
        <v>0</v>
      </c>
      <c r="I311">
        <v>0</v>
      </c>
      <c r="J311" t="s">
        <v>843</v>
      </c>
    </row>
    <row r="312" spans="1:10" x14ac:dyDescent="0.3">
      <c r="A312" t="s">
        <v>10</v>
      </c>
      <c r="B312" s="14" t="s">
        <v>189</v>
      </c>
      <c r="C312">
        <v>8750000</v>
      </c>
      <c r="D312">
        <v>6</v>
      </c>
      <c r="E312">
        <v>0</v>
      </c>
      <c r="F312">
        <v>2</v>
      </c>
      <c r="G312">
        <v>3</v>
      </c>
      <c r="H312">
        <v>0</v>
      </c>
      <c r="I312">
        <v>0</v>
      </c>
      <c r="J312" t="s">
        <v>843</v>
      </c>
    </row>
    <row r="313" spans="1:10" x14ac:dyDescent="0.3">
      <c r="A313" t="s">
        <v>10</v>
      </c>
      <c r="B313" s="14" t="s">
        <v>109</v>
      </c>
      <c r="C313">
        <v>9450000</v>
      </c>
      <c r="D313">
        <v>34</v>
      </c>
      <c r="E313">
        <v>0</v>
      </c>
      <c r="F313">
        <v>4</v>
      </c>
      <c r="G313">
        <v>8</v>
      </c>
      <c r="H313">
        <v>5</v>
      </c>
      <c r="I313">
        <v>29</v>
      </c>
      <c r="J313" t="s">
        <v>843</v>
      </c>
    </row>
    <row r="314" spans="1:10" x14ac:dyDescent="0.3">
      <c r="A314" t="s">
        <v>10</v>
      </c>
      <c r="B314" s="14" t="s">
        <v>635</v>
      </c>
      <c r="C314">
        <v>8950000</v>
      </c>
      <c r="D314">
        <v>2</v>
      </c>
      <c r="E314">
        <v>0</v>
      </c>
      <c r="F314">
        <v>0</v>
      </c>
      <c r="G314">
        <v>0</v>
      </c>
      <c r="H314">
        <v>0</v>
      </c>
      <c r="I314">
        <v>0</v>
      </c>
      <c r="J314" t="s">
        <v>843</v>
      </c>
    </row>
    <row r="315" spans="1:10" x14ac:dyDescent="0.3">
      <c r="A315" t="s">
        <v>10</v>
      </c>
      <c r="B315" s="14" t="s">
        <v>919</v>
      </c>
      <c r="C315">
        <v>10300000</v>
      </c>
      <c r="D315">
        <v>0</v>
      </c>
      <c r="E315">
        <v>0</v>
      </c>
      <c r="F315">
        <v>0</v>
      </c>
      <c r="G315">
        <v>0</v>
      </c>
      <c r="H315">
        <v>0</v>
      </c>
      <c r="I315">
        <v>0</v>
      </c>
      <c r="J315" t="s">
        <v>848</v>
      </c>
    </row>
    <row r="316" spans="1:10" x14ac:dyDescent="0.3">
      <c r="A316" t="s">
        <v>10</v>
      </c>
      <c r="B316" s="14" t="s">
        <v>638</v>
      </c>
      <c r="C316">
        <v>2400000</v>
      </c>
      <c r="D316">
        <v>0</v>
      </c>
      <c r="E316">
        <v>0</v>
      </c>
      <c r="F316">
        <v>0</v>
      </c>
      <c r="G316">
        <v>0</v>
      </c>
      <c r="H316">
        <v>0</v>
      </c>
      <c r="I316">
        <v>0</v>
      </c>
      <c r="J316" t="s">
        <v>848</v>
      </c>
    </row>
    <row r="317" spans="1:10" x14ac:dyDescent="0.3">
      <c r="A317" t="s">
        <v>10</v>
      </c>
      <c r="B317" s="14" t="s">
        <v>920</v>
      </c>
      <c r="C317">
        <v>1800000</v>
      </c>
      <c r="D317">
        <v>0</v>
      </c>
      <c r="E317">
        <v>0</v>
      </c>
      <c r="F317">
        <v>0</v>
      </c>
      <c r="G317">
        <v>0</v>
      </c>
      <c r="H317">
        <v>0</v>
      </c>
      <c r="I317">
        <v>0</v>
      </c>
      <c r="J317" t="s">
        <v>848</v>
      </c>
    </row>
    <row r="318" spans="1:10" x14ac:dyDescent="0.3">
      <c r="A318" t="s">
        <v>10</v>
      </c>
      <c r="B318" s="14" t="s">
        <v>640</v>
      </c>
      <c r="C318">
        <v>2400000</v>
      </c>
      <c r="D318">
        <v>3</v>
      </c>
      <c r="E318">
        <v>0</v>
      </c>
      <c r="F318">
        <v>0</v>
      </c>
      <c r="G318">
        <v>0</v>
      </c>
      <c r="H318">
        <v>0</v>
      </c>
      <c r="I318">
        <v>0</v>
      </c>
      <c r="J318" t="s">
        <v>843</v>
      </c>
    </row>
    <row r="319" spans="1:10" x14ac:dyDescent="0.3">
      <c r="A319" t="s">
        <v>10</v>
      </c>
      <c r="B319" s="14" t="s">
        <v>641</v>
      </c>
      <c r="C319">
        <v>2400000</v>
      </c>
      <c r="D319">
        <v>0</v>
      </c>
      <c r="E319">
        <v>0</v>
      </c>
      <c r="F319">
        <v>0</v>
      </c>
      <c r="G319">
        <v>0</v>
      </c>
      <c r="H319">
        <v>0</v>
      </c>
      <c r="I319">
        <v>0</v>
      </c>
      <c r="J319" t="s">
        <v>848</v>
      </c>
    </row>
    <row r="320" spans="1:10" x14ac:dyDescent="0.3">
      <c r="A320" t="s">
        <v>10</v>
      </c>
      <c r="B320" s="14" t="s">
        <v>642</v>
      </c>
      <c r="D320">
        <v>1</v>
      </c>
      <c r="E320">
        <v>0</v>
      </c>
      <c r="F320">
        <v>0</v>
      </c>
      <c r="G320">
        <v>0</v>
      </c>
      <c r="H320">
        <v>0</v>
      </c>
      <c r="I320">
        <v>0</v>
      </c>
      <c r="J320" t="s">
        <v>843</v>
      </c>
    </row>
    <row r="321" spans="1:10" x14ac:dyDescent="0.3">
      <c r="A321" t="s">
        <v>10</v>
      </c>
      <c r="B321" s="14" t="s">
        <v>643</v>
      </c>
      <c r="D321">
        <v>2</v>
      </c>
      <c r="E321">
        <v>0</v>
      </c>
      <c r="F321">
        <v>0</v>
      </c>
      <c r="G321">
        <v>0</v>
      </c>
      <c r="H321">
        <v>0</v>
      </c>
      <c r="I321">
        <v>0</v>
      </c>
      <c r="J321" t="s">
        <v>843</v>
      </c>
    </row>
    <row r="322" spans="1:10" x14ac:dyDescent="0.3">
      <c r="A322" t="s">
        <v>10</v>
      </c>
      <c r="B322" s="14" t="s">
        <v>113</v>
      </c>
      <c r="C322">
        <v>2700000</v>
      </c>
      <c r="D322">
        <v>1</v>
      </c>
      <c r="E322">
        <v>1</v>
      </c>
      <c r="F322">
        <v>3</v>
      </c>
      <c r="G322">
        <v>8</v>
      </c>
      <c r="H322">
        <v>0</v>
      </c>
      <c r="I322">
        <v>0</v>
      </c>
      <c r="J322" t="s">
        <v>843</v>
      </c>
    </row>
    <row r="323" spans="1:10" x14ac:dyDescent="0.3">
      <c r="A323" t="s">
        <v>10</v>
      </c>
      <c r="B323" s="14" t="s">
        <v>139</v>
      </c>
      <c r="C323">
        <v>2700000</v>
      </c>
      <c r="D323">
        <v>12</v>
      </c>
      <c r="E323">
        <v>2</v>
      </c>
      <c r="F323">
        <v>2</v>
      </c>
      <c r="G323">
        <v>5</v>
      </c>
      <c r="H323">
        <v>0</v>
      </c>
      <c r="I323">
        <v>2</v>
      </c>
      <c r="J323" t="s">
        <v>843</v>
      </c>
    </row>
    <row r="324" spans="1:10" x14ac:dyDescent="0.3">
      <c r="A324" t="s">
        <v>10</v>
      </c>
      <c r="B324" s="14" t="s">
        <v>132</v>
      </c>
      <c r="C324">
        <v>2700000</v>
      </c>
      <c r="D324">
        <v>2</v>
      </c>
      <c r="E324">
        <v>0</v>
      </c>
      <c r="F324">
        <v>2</v>
      </c>
      <c r="G324">
        <v>4</v>
      </c>
      <c r="H324">
        <v>0</v>
      </c>
      <c r="I324">
        <v>1</v>
      </c>
      <c r="J324" t="s">
        <v>843</v>
      </c>
    </row>
    <row r="325" spans="1:10" x14ac:dyDescent="0.3">
      <c r="A325" t="s">
        <v>10</v>
      </c>
      <c r="B325" s="14" t="s">
        <v>644</v>
      </c>
      <c r="C325">
        <v>2400000</v>
      </c>
      <c r="D325">
        <v>1</v>
      </c>
      <c r="E325">
        <v>0</v>
      </c>
      <c r="F325">
        <v>0</v>
      </c>
      <c r="G325">
        <v>0</v>
      </c>
      <c r="H325">
        <v>0</v>
      </c>
      <c r="I325">
        <v>0</v>
      </c>
      <c r="J325" t="s">
        <v>843</v>
      </c>
    </row>
    <row r="326" spans="1:10" x14ac:dyDescent="0.3">
      <c r="A326" t="s">
        <v>10</v>
      </c>
      <c r="B326" s="14" t="s">
        <v>64</v>
      </c>
      <c r="C326">
        <v>2700000</v>
      </c>
      <c r="D326">
        <v>16</v>
      </c>
      <c r="E326">
        <v>1</v>
      </c>
      <c r="F326">
        <v>2</v>
      </c>
      <c r="G326">
        <v>7</v>
      </c>
      <c r="H326">
        <v>0</v>
      </c>
      <c r="I326">
        <v>9</v>
      </c>
      <c r="J326" t="s">
        <v>843</v>
      </c>
    </row>
    <row r="327" spans="1:10" x14ac:dyDescent="0.3">
      <c r="A327" t="s">
        <v>10</v>
      </c>
      <c r="B327" s="14" t="s">
        <v>343</v>
      </c>
      <c r="C327">
        <v>2950000</v>
      </c>
      <c r="D327">
        <v>8</v>
      </c>
      <c r="E327">
        <v>1</v>
      </c>
      <c r="F327">
        <v>1</v>
      </c>
      <c r="G327">
        <v>1</v>
      </c>
      <c r="H327">
        <v>0</v>
      </c>
      <c r="I327">
        <v>12</v>
      </c>
      <c r="J327" t="s">
        <v>843</v>
      </c>
    </row>
    <row r="328" spans="1:10" x14ac:dyDescent="0.3">
      <c r="A328" t="s">
        <v>10</v>
      </c>
      <c r="B328" s="14" t="s">
        <v>921</v>
      </c>
      <c r="C328">
        <v>2950000</v>
      </c>
      <c r="D328">
        <v>12</v>
      </c>
      <c r="E328">
        <v>0</v>
      </c>
      <c r="F328">
        <v>1</v>
      </c>
      <c r="G328">
        <v>1</v>
      </c>
      <c r="H328">
        <v>0</v>
      </c>
      <c r="I328">
        <v>15</v>
      </c>
      <c r="J328" t="s">
        <v>843</v>
      </c>
    </row>
    <row r="329" spans="1:10" x14ac:dyDescent="0.3">
      <c r="A329" t="s">
        <v>10</v>
      </c>
      <c r="B329" s="14" t="s">
        <v>645</v>
      </c>
      <c r="C329">
        <v>2650000</v>
      </c>
      <c r="D329">
        <v>1</v>
      </c>
      <c r="E329">
        <v>0</v>
      </c>
      <c r="F329">
        <v>0</v>
      </c>
      <c r="G329">
        <v>0</v>
      </c>
      <c r="H329">
        <v>0</v>
      </c>
      <c r="I329">
        <v>0</v>
      </c>
      <c r="J329" t="s">
        <v>843</v>
      </c>
    </row>
    <row r="330" spans="1:10" x14ac:dyDescent="0.3">
      <c r="A330" t="s">
        <v>10</v>
      </c>
      <c r="B330" s="14" t="s">
        <v>344</v>
      </c>
      <c r="C330">
        <v>2950000</v>
      </c>
      <c r="D330">
        <v>5</v>
      </c>
      <c r="E330">
        <v>1</v>
      </c>
      <c r="F330">
        <v>1</v>
      </c>
      <c r="G330">
        <v>1</v>
      </c>
      <c r="H330">
        <v>0</v>
      </c>
      <c r="I330">
        <v>8</v>
      </c>
      <c r="J330" t="s">
        <v>843</v>
      </c>
    </row>
    <row r="331" spans="1:10" x14ac:dyDescent="0.3">
      <c r="A331" t="s">
        <v>10</v>
      </c>
      <c r="B331" s="14" t="s">
        <v>922</v>
      </c>
      <c r="C331">
        <v>15500000</v>
      </c>
      <c r="D331">
        <v>0</v>
      </c>
      <c r="E331">
        <v>0</v>
      </c>
      <c r="F331">
        <v>0</v>
      </c>
      <c r="G331">
        <v>0</v>
      </c>
      <c r="H331">
        <v>0</v>
      </c>
      <c r="I331">
        <v>0</v>
      </c>
      <c r="J331" t="s">
        <v>848</v>
      </c>
    </row>
    <row r="332" spans="1:10" x14ac:dyDescent="0.3">
      <c r="A332" t="s">
        <v>10</v>
      </c>
      <c r="B332" s="14" t="s">
        <v>922</v>
      </c>
      <c r="C332">
        <v>20000000</v>
      </c>
      <c r="D332">
        <v>8</v>
      </c>
      <c r="E332">
        <v>0</v>
      </c>
      <c r="F332">
        <v>1</v>
      </c>
      <c r="G332">
        <v>3</v>
      </c>
      <c r="H332">
        <v>0</v>
      </c>
      <c r="I332">
        <v>0</v>
      </c>
      <c r="J332" t="s">
        <v>843</v>
      </c>
    </row>
    <row r="333" spans="1:10" x14ac:dyDescent="0.3">
      <c r="A333" t="s">
        <v>10</v>
      </c>
      <c r="B333" s="14" t="s">
        <v>922</v>
      </c>
      <c r="C333">
        <v>14000000</v>
      </c>
      <c r="D333">
        <v>75</v>
      </c>
      <c r="E333">
        <v>2</v>
      </c>
      <c r="F333">
        <v>4</v>
      </c>
      <c r="G333">
        <v>5</v>
      </c>
      <c r="H333">
        <v>0</v>
      </c>
      <c r="I333">
        <v>0</v>
      </c>
      <c r="J333" t="s">
        <v>843</v>
      </c>
    </row>
    <row r="334" spans="1:10" x14ac:dyDescent="0.3">
      <c r="A334" t="s">
        <v>10</v>
      </c>
      <c r="B334" s="14" t="s">
        <v>213</v>
      </c>
      <c r="C334">
        <v>11600000</v>
      </c>
      <c r="D334">
        <v>3</v>
      </c>
      <c r="E334">
        <v>0</v>
      </c>
      <c r="F334">
        <v>0</v>
      </c>
      <c r="G334">
        <v>1</v>
      </c>
      <c r="H334">
        <v>0</v>
      </c>
      <c r="I334">
        <v>0</v>
      </c>
      <c r="J334" t="s">
        <v>843</v>
      </c>
    </row>
    <row r="335" spans="1:10" x14ac:dyDescent="0.3">
      <c r="A335" t="s">
        <v>10</v>
      </c>
      <c r="B335" s="14" t="s">
        <v>646</v>
      </c>
      <c r="C335">
        <v>11000000</v>
      </c>
      <c r="D335">
        <v>1</v>
      </c>
      <c r="E335">
        <v>0</v>
      </c>
      <c r="F335">
        <v>0</v>
      </c>
      <c r="G335">
        <v>0</v>
      </c>
      <c r="H335">
        <v>0</v>
      </c>
      <c r="I335">
        <v>0</v>
      </c>
      <c r="J335" t="s">
        <v>843</v>
      </c>
    </row>
    <row r="336" spans="1:10" x14ac:dyDescent="0.3">
      <c r="A336" t="s">
        <v>10</v>
      </c>
      <c r="B336" s="14" t="s">
        <v>923</v>
      </c>
      <c r="C336">
        <v>16500000</v>
      </c>
      <c r="D336">
        <v>2</v>
      </c>
      <c r="E336">
        <v>0</v>
      </c>
      <c r="F336">
        <v>0</v>
      </c>
      <c r="G336">
        <v>0</v>
      </c>
      <c r="H336">
        <v>0</v>
      </c>
      <c r="I336">
        <v>0</v>
      </c>
      <c r="J336" t="s">
        <v>843</v>
      </c>
    </row>
    <row r="337" spans="1:10" x14ac:dyDescent="0.3">
      <c r="A337" t="s">
        <v>10</v>
      </c>
      <c r="B337" s="14" t="s">
        <v>924</v>
      </c>
      <c r="C337">
        <v>12500000</v>
      </c>
      <c r="D337">
        <v>12</v>
      </c>
      <c r="E337">
        <v>-1</v>
      </c>
      <c r="F337">
        <v>0</v>
      </c>
      <c r="G337">
        <v>4</v>
      </c>
      <c r="H337">
        <v>0</v>
      </c>
      <c r="I337">
        <v>0</v>
      </c>
      <c r="J337" t="s">
        <v>843</v>
      </c>
    </row>
    <row r="338" spans="1:10" x14ac:dyDescent="0.3">
      <c r="A338" t="s">
        <v>10</v>
      </c>
      <c r="B338" s="14" t="s">
        <v>924</v>
      </c>
      <c r="C338">
        <v>10500000</v>
      </c>
      <c r="D338">
        <v>1</v>
      </c>
      <c r="E338">
        <v>0</v>
      </c>
      <c r="F338">
        <v>0</v>
      </c>
      <c r="G338">
        <v>0</v>
      </c>
      <c r="H338">
        <v>0</v>
      </c>
      <c r="I338">
        <v>0</v>
      </c>
      <c r="J338" t="s">
        <v>843</v>
      </c>
    </row>
    <row r="339" spans="1:10" x14ac:dyDescent="0.3">
      <c r="A339" t="s">
        <v>10</v>
      </c>
      <c r="B339" s="14" t="s">
        <v>648</v>
      </c>
      <c r="C339">
        <v>20500000</v>
      </c>
      <c r="D339">
        <v>0</v>
      </c>
      <c r="E339">
        <v>0</v>
      </c>
      <c r="F339">
        <v>0</v>
      </c>
      <c r="G339">
        <v>0</v>
      </c>
      <c r="H339">
        <v>0</v>
      </c>
      <c r="I339">
        <v>0</v>
      </c>
      <c r="J339" t="s">
        <v>848</v>
      </c>
    </row>
    <row r="340" spans="1:10" x14ac:dyDescent="0.3">
      <c r="A340" t="s">
        <v>10</v>
      </c>
      <c r="B340" s="14" t="s">
        <v>345</v>
      </c>
      <c r="C340">
        <v>15500000</v>
      </c>
      <c r="D340">
        <v>0</v>
      </c>
      <c r="E340">
        <v>0</v>
      </c>
      <c r="F340">
        <v>0</v>
      </c>
      <c r="G340">
        <v>0</v>
      </c>
      <c r="H340">
        <v>0</v>
      </c>
      <c r="I340">
        <v>0</v>
      </c>
      <c r="J340" t="s">
        <v>848</v>
      </c>
    </row>
    <row r="341" spans="1:10" x14ac:dyDescent="0.3">
      <c r="A341" t="s">
        <v>10</v>
      </c>
      <c r="B341" s="14" t="s">
        <v>807</v>
      </c>
      <c r="C341">
        <v>11600000</v>
      </c>
      <c r="D341">
        <v>4</v>
      </c>
      <c r="E341">
        <v>0</v>
      </c>
      <c r="F341">
        <v>0</v>
      </c>
      <c r="G341">
        <v>0</v>
      </c>
      <c r="H341">
        <v>0</v>
      </c>
      <c r="I341">
        <v>0</v>
      </c>
      <c r="J341" t="s">
        <v>843</v>
      </c>
    </row>
    <row r="342" spans="1:10" x14ac:dyDescent="0.3">
      <c r="A342" t="s">
        <v>10</v>
      </c>
      <c r="B342" s="14" t="s">
        <v>649</v>
      </c>
      <c r="C342">
        <v>11000000</v>
      </c>
      <c r="D342">
        <v>4</v>
      </c>
      <c r="E342">
        <v>0</v>
      </c>
      <c r="F342">
        <v>0</v>
      </c>
      <c r="G342">
        <v>0</v>
      </c>
      <c r="H342">
        <v>0</v>
      </c>
      <c r="I342">
        <v>0</v>
      </c>
      <c r="J342" t="s">
        <v>843</v>
      </c>
    </row>
    <row r="343" spans="1:10" x14ac:dyDescent="0.3">
      <c r="A343" t="s">
        <v>10</v>
      </c>
      <c r="B343" s="14" t="s">
        <v>925</v>
      </c>
      <c r="C343">
        <v>13000000</v>
      </c>
      <c r="D343">
        <v>6</v>
      </c>
      <c r="E343">
        <v>0</v>
      </c>
      <c r="F343">
        <v>0</v>
      </c>
      <c r="G343">
        <v>1</v>
      </c>
      <c r="H343">
        <v>0</v>
      </c>
      <c r="I343">
        <v>0</v>
      </c>
      <c r="J343" t="s">
        <v>843</v>
      </c>
    </row>
    <row r="344" spans="1:10" x14ac:dyDescent="0.3">
      <c r="A344" t="s">
        <v>10</v>
      </c>
      <c r="B344" s="14" t="s">
        <v>650</v>
      </c>
      <c r="C344">
        <v>18500000</v>
      </c>
      <c r="D344">
        <v>0</v>
      </c>
      <c r="E344">
        <v>0</v>
      </c>
      <c r="F344">
        <v>0</v>
      </c>
      <c r="G344">
        <v>0</v>
      </c>
      <c r="H344">
        <v>0</v>
      </c>
      <c r="I344">
        <v>0</v>
      </c>
      <c r="J344" t="s">
        <v>848</v>
      </c>
    </row>
    <row r="345" spans="1:10" x14ac:dyDescent="0.3">
      <c r="A345" t="s">
        <v>10</v>
      </c>
      <c r="B345" s="14" t="s">
        <v>252</v>
      </c>
      <c r="C345">
        <v>14500000</v>
      </c>
      <c r="D345">
        <v>0</v>
      </c>
      <c r="E345">
        <v>0</v>
      </c>
      <c r="F345">
        <v>1</v>
      </c>
      <c r="G345">
        <v>1</v>
      </c>
      <c r="H345">
        <v>0</v>
      </c>
      <c r="I345">
        <v>0</v>
      </c>
      <c r="J345" t="s">
        <v>848</v>
      </c>
    </row>
    <row r="346" spans="1:10" x14ac:dyDescent="0.3">
      <c r="A346" t="s">
        <v>10</v>
      </c>
      <c r="B346" s="14" t="s">
        <v>100</v>
      </c>
      <c r="C346">
        <v>11600000</v>
      </c>
      <c r="D346">
        <v>10</v>
      </c>
      <c r="E346">
        <v>3</v>
      </c>
      <c r="F346">
        <v>4</v>
      </c>
      <c r="G346">
        <v>12</v>
      </c>
      <c r="H346">
        <v>0</v>
      </c>
      <c r="I346">
        <v>0</v>
      </c>
      <c r="J346" t="s">
        <v>843</v>
      </c>
    </row>
    <row r="347" spans="1:10" x14ac:dyDescent="0.3">
      <c r="A347" t="s">
        <v>10</v>
      </c>
      <c r="B347" s="14" t="s">
        <v>253</v>
      </c>
      <c r="C347">
        <v>14500000</v>
      </c>
      <c r="D347">
        <v>2</v>
      </c>
      <c r="E347">
        <v>0</v>
      </c>
      <c r="F347">
        <v>0</v>
      </c>
      <c r="G347">
        <v>1</v>
      </c>
      <c r="H347">
        <v>0</v>
      </c>
      <c r="I347">
        <v>0</v>
      </c>
      <c r="J347" t="s">
        <v>843</v>
      </c>
    </row>
    <row r="348" spans="1:10" x14ac:dyDescent="0.3">
      <c r="A348" t="s">
        <v>10</v>
      </c>
      <c r="B348" s="14" t="s">
        <v>214</v>
      </c>
      <c r="C348">
        <v>10100000</v>
      </c>
      <c r="D348">
        <v>5</v>
      </c>
      <c r="E348">
        <v>1</v>
      </c>
      <c r="F348">
        <v>2</v>
      </c>
      <c r="G348">
        <v>2</v>
      </c>
      <c r="H348">
        <v>0</v>
      </c>
      <c r="I348">
        <v>0</v>
      </c>
      <c r="J348" t="s">
        <v>843</v>
      </c>
    </row>
    <row r="349" spans="1:10" x14ac:dyDescent="0.3">
      <c r="A349" t="s">
        <v>10</v>
      </c>
      <c r="B349" s="14" t="s">
        <v>346</v>
      </c>
      <c r="C349">
        <v>9500000</v>
      </c>
      <c r="D349">
        <v>1</v>
      </c>
      <c r="E349">
        <v>1</v>
      </c>
      <c r="F349">
        <v>1</v>
      </c>
      <c r="G349">
        <v>1</v>
      </c>
      <c r="H349">
        <v>0</v>
      </c>
      <c r="I349">
        <v>0</v>
      </c>
      <c r="J349" t="s">
        <v>843</v>
      </c>
    </row>
    <row r="350" spans="1:10" x14ac:dyDescent="0.3">
      <c r="A350" t="s">
        <v>10</v>
      </c>
      <c r="B350" s="14" t="s">
        <v>926</v>
      </c>
      <c r="C350">
        <v>14500000</v>
      </c>
      <c r="D350">
        <v>0</v>
      </c>
      <c r="E350">
        <v>0</v>
      </c>
      <c r="F350">
        <v>0</v>
      </c>
      <c r="G350">
        <v>1</v>
      </c>
      <c r="H350">
        <v>0</v>
      </c>
      <c r="I350">
        <v>0</v>
      </c>
      <c r="J350" t="s">
        <v>848</v>
      </c>
    </row>
    <row r="351" spans="1:10" x14ac:dyDescent="0.3">
      <c r="A351" t="s">
        <v>10</v>
      </c>
      <c r="B351" s="14" t="s">
        <v>927</v>
      </c>
      <c r="C351">
        <v>8000000</v>
      </c>
      <c r="D351">
        <v>1</v>
      </c>
      <c r="E351">
        <v>0</v>
      </c>
      <c r="F351">
        <v>0</v>
      </c>
      <c r="G351">
        <v>0</v>
      </c>
      <c r="H351">
        <v>0</v>
      </c>
      <c r="I351">
        <v>0</v>
      </c>
      <c r="J351" t="s">
        <v>843</v>
      </c>
    </row>
    <row r="352" spans="1:10" x14ac:dyDescent="0.3">
      <c r="A352" t="s">
        <v>10</v>
      </c>
      <c r="B352" s="14" t="s">
        <v>927</v>
      </c>
      <c r="C352">
        <v>8100000</v>
      </c>
      <c r="D352">
        <v>0</v>
      </c>
      <c r="E352">
        <v>0</v>
      </c>
      <c r="F352">
        <v>0</v>
      </c>
      <c r="G352">
        <v>0</v>
      </c>
      <c r="H352">
        <v>0</v>
      </c>
      <c r="I352">
        <v>0</v>
      </c>
      <c r="J352" t="s">
        <v>848</v>
      </c>
    </row>
    <row r="353" spans="1:10" x14ac:dyDescent="0.3">
      <c r="A353" t="s">
        <v>10</v>
      </c>
      <c r="B353" s="14" t="s">
        <v>927</v>
      </c>
      <c r="C353">
        <v>9000000</v>
      </c>
      <c r="D353">
        <v>0</v>
      </c>
      <c r="E353">
        <v>0</v>
      </c>
      <c r="F353">
        <v>0</v>
      </c>
      <c r="G353">
        <v>0</v>
      </c>
      <c r="H353">
        <v>0</v>
      </c>
      <c r="I353">
        <v>0</v>
      </c>
      <c r="J353" t="s">
        <v>848</v>
      </c>
    </row>
    <row r="354" spans="1:10" x14ac:dyDescent="0.3">
      <c r="A354" t="s">
        <v>10</v>
      </c>
      <c r="B354" s="14" t="s">
        <v>927</v>
      </c>
      <c r="C354">
        <v>11000000</v>
      </c>
      <c r="D354">
        <v>11</v>
      </c>
      <c r="E354">
        <v>-1</v>
      </c>
      <c r="F354">
        <v>1</v>
      </c>
      <c r="G354">
        <v>5</v>
      </c>
      <c r="H354">
        <v>0</v>
      </c>
      <c r="I354">
        <v>0</v>
      </c>
      <c r="J354" t="s">
        <v>843</v>
      </c>
    </row>
    <row r="355" spans="1:10" x14ac:dyDescent="0.3">
      <c r="A355" t="s">
        <v>10</v>
      </c>
      <c r="B355" s="14" t="s">
        <v>651</v>
      </c>
      <c r="C355">
        <v>18500000</v>
      </c>
      <c r="D355">
        <v>0</v>
      </c>
      <c r="E355">
        <v>0</v>
      </c>
      <c r="F355">
        <v>0</v>
      </c>
      <c r="G355">
        <v>0</v>
      </c>
      <c r="H355">
        <v>0</v>
      </c>
      <c r="I355">
        <v>0</v>
      </c>
      <c r="J355" t="s">
        <v>848</v>
      </c>
    </row>
    <row r="356" spans="1:10" x14ac:dyDescent="0.3">
      <c r="A356" t="s">
        <v>10</v>
      </c>
      <c r="B356" s="14" t="s">
        <v>81</v>
      </c>
      <c r="C356">
        <v>11800000</v>
      </c>
      <c r="D356">
        <v>22</v>
      </c>
      <c r="E356">
        <v>2</v>
      </c>
      <c r="F356">
        <v>5</v>
      </c>
      <c r="G356">
        <v>12</v>
      </c>
      <c r="H356">
        <v>0</v>
      </c>
      <c r="I356">
        <v>1</v>
      </c>
      <c r="J356" t="s">
        <v>843</v>
      </c>
    </row>
    <row r="357" spans="1:10" x14ac:dyDescent="0.3">
      <c r="A357" t="s">
        <v>10</v>
      </c>
      <c r="B357" s="14" t="s">
        <v>164</v>
      </c>
      <c r="C357">
        <v>10100000</v>
      </c>
      <c r="D357">
        <v>0</v>
      </c>
      <c r="E357">
        <v>0</v>
      </c>
      <c r="F357">
        <v>1</v>
      </c>
      <c r="G357">
        <v>5</v>
      </c>
      <c r="H357">
        <v>0</v>
      </c>
      <c r="I357">
        <v>1</v>
      </c>
      <c r="J357" t="s">
        <v>848</v>
      </c>
    </row>
    <row r="358" spans="1:10" x14ac:dyDescent="0.3">
      <c r="A358" t="s">
        <v>10</v>
      </c>
      <c r="B358" s="14" t="s">
        <v>652</v>
      </c>
      <c r="C358">
        <v>9500000</v>
      </c>
      <c r="D358">
        <v>1</v>
      </c>
      <c r="E358">
        <v>0</v>
      </c>
      <c r="F358">
        <v>0</v>
      </c>
      <c r="G358">
        <v>0</v>
      </c>
      <c r="H358">
        <v>0</v>
      </c>
      <c r="I358">
        <v>0</v>
      </c>
      <c r="J358" t="s">
        <v>843</v>
      </c>
    </row>
    <row r="359" spans="1:10" x14ac:dyDescent="0.3">
      <c r="A359" t="s">
        <v>10</v>
      </c>
      <c r="B359" s="14" t="s">
        <v>928</v>
      </c>
      <c r="C359">
        <v>14500000</v>
      </c>
      <c r="D359">
        <v>0</v>
      </c>
      <c r="E359">
        <v>0</v>
      </c>
      <c r="F359">
        <v>1</v>
      </c>
      <c r="G359">
        <v>2</v>
      </c>
      <c r="H359">
        <v>0</v>
      </c>
      <c r="I359">
        <v>0</v>
      </c>
      <c r="J359" t="s">
        <v>848</v>
      </c>
    </row>
    <row r="360" spans="1:10" x14ac:dyDescent="0.3">
      <c r="A360" t="s">
        <v>10</v>
      </c>
      <c r="B360" s="14" t="s">
        <v>928</v>
      </c>
      <c r="C360">
        <v>13500000</v>
      </c>
      <c r="D360">
        <v>2</v>
      </c>
      <c r="E360">
        <v>0</v>
      </c>
      <c r="F360">
        <v>0</v>
      </c>
      <c r="G360">
        <v>0</v>
      </c>
      <c r="H360">
        <v>0</v>
      </c>
      <c r="I360">
        <v>0</v>
      </c>
      <c r="J360" t="s">
        <v>843</v>
      </c>
    </row>
    <row r="361" spans="1:10" x14ac:dyDescent="0.3">
      <c r="A361" t="s">
        <v>10</v>
      </c>
      <c r="B361" s="14" t="s">
        <v>929</v>
      </c>
      <c r="C361">
        <v>18500000</v>
      </c>
      <c r="D361">
        <v>2</v>
      </c>
      <c r="E361">
        <v>0</v>
      </c>
      <c r="F361">
        <v>0</v>
      </c>
      <c r="G361">
        <v>1</v>
      </c>
      <c r="H361">
        <v>0</v>
      </c>
      <c r="I361">
        <v>0</v>
      </c>
      <c r="J361" t="s">
        <v>843</v>
      </c>
    </row>
    <row r="362" spans="1:10" x14ac:dyDescent="0.3">
      <c r="A362" t="s">
        <v>10</v>
      </c>
      <c r="B362" s="14" t="s">
        <v>930</v>
      </c>
      <c r="C362">
        <v>12500000</v>
      </c>
      <c r="D362">
        <v>31</v>
      </c>
      <c r="E362">
        <v>0</v>
      </c>
      <c r="F362">
        <v>3</v>
      </c>
      <c r="G362">
        <v>6</v>
      </c>
      <c r="H362">
        <v>0</v>
      </c>
      <c r="I362">
        <v>2</v>
      </c>
      <c r="J362" t="s">
        <v>843</v>
      </c>
    </row>
    <row r="363" spans="1:10" x14ac:dyDescent="0.3">
      <c r="A363" t="s">
        <v>10</v>
      </c>
      <c r="B363" s="14" t="s">
        <v>930</v>
      </c>
      <c r="C363">
        <v>11000000</v>
      </c>
      <c r="D363">
        <v>1</v>
      </c>
      <c r="E363">
        <v>1</v>
      </c>
      <c r="F363">
        <v>1</v>
      </c>
      <c r="G363">
        <v>1</v>
      </c>
      <c r="H363">
        <v>0</v>
      </c>
      <c r="I363">
        <v>0</v>
      </c>
      <c r="J363" t="s">
        <v>843</v>
      </c>
    </row>
    <row r="364" spans="1:10" x14ac:dyDescent="0.3">
      <c r="A364" t="s">
        <v>10</v>
      </c>
      <c r="B364" s="14" t="s">
        <v>930</v>
      </c>
      <c r="C364">
        <v>12000000</v>
      </c>
      <c r="D364">
        <v>6</v>
      </c>
      <c r="E364">
        <v>0</v>
      </c>
      <c r="F364">
        <v>0</v>
      </c>
      <c r="G364">
        <v>0</v>
      </c>
      <c r="H364">
        <v>0</v>
      </c>
      <c r="I364">
        <v>4</v>
      </c>
      <c r="J364" t="s">
        <v>843</v>
      </c>
    </row>
    <row r="365" spans="1:10" x14ac:dyDescent="0.3">
      <c r="A365" t="s">
        <v>10</v>
      </c>
      <c r="B365" s="14" t="s">
        <v>931</v>
      </c>
      <c r="C365">
        <v>14000000</v>
      </c>
      <c r="D365">
        <v>1</v>
      </c>
      <c r="E365">
        <v>0</v>
      </c>
      <c r="F365">
        <v>0</v>
      </c>
      <c r="G365">
        <v>0</v>
      </c>
      <c r="H365">
        <v>0</v>
      </c>
      <c r="I365">
        <v>0</v>
      </c>
      <c r="J365" t="s">
        <v>843</v>
      </c>
    </row>
    <row r="366" spans="1:10" x14ac:dyDescent="0.3">
      <c r="A366" t="s">
        <v>10</v>
      </c>
      <c r="B366" s="14" t="s">
        <v>932</v>
      </c>
      <c r="C366">
        <v>14500000</v>
      </c>
      <c r="D366">
        <v>0</v>
      </c>
      <c r="E366">
        <v>0</v>
      </c>
      <c r="F366">
        <v>0</v>
      </c>
      <c r="G366">
        <v>0</v>
      </c>
      <c r="H366">
        <v>0</v>
      </c>
      <c r="I366">
        <v>0</v>
      </c>
      <c r="J366" t="s">
        <v>848</v>
      </c>
    </row>
    <row r="367" spans="1:10" x14ac:dyDescent="0.3">
      <c r="A367" t="s">
        <v>10</v>
      </c>
      <c r="B367" s="14" t="s">
        <v>933</v>
      </c>
      <c r="C367">
        <v>12200000</v>
      </c>
      <c r="D367">
        <v>8</v>
      </c>
      <c r="E367">
        <v>0</v>
      </c>
      <c r="F367">
        <v>0</v>
      </c>
      <c r="G367">
        <v>0</v>
      </c>
      <c r="H367">
        <v>0</v>
      </c>
      <c r="I367">
        <v>2</v>
      </c>
      <c r="J367" t="s">
        <v>843</v>
      </c>
    </row>
    <row r="368" spans="1:10" x14ac:dyDescent="0.3">
      <c r="A368" t="s">
        <v>10</v>
      </c>
      <c r="B368" s="14" t="s">
        <v>934</v>
      </c>
      <c r="C368">
        <v>20000000</v>
      </c>
      <c r="D368">
        <v>0</v>
      </c>
      <c r="E368">
        <v>0</v>
      </c>
      <c r="F368">
        <v>0</v>
      </c>
      <c r="G368">
        <v>0</v>
      </c>
      <c r="H368">
        <v>0</v>
      </c>
      <c r="I368">
        <v>0</v>
      </c>
      <c r="J368" t="s">
        <v>848</v>
      </c>
    </row>
    <row r="369" spans="1:10" x14ac:dyDescent="0.3">
      <c r="A369" t="s">
        <v>10</v>
      </c>
      <c r="B369" s="14" t="s">
        <v>935</v>
      </c>
      <c r="C369">
        <v>17500000</v>
      </c>
      <c r="D369">
        <v>8</v>
      </c>
      <c r="E369">
        <v>0</v>
      </c>
      <c r="F369">
        <v>1</v>
      </c>
      <c r="G369">
        <v>2</v>
      </c>
      <c r="H369">
        <v>0</v>
      </c>
      <c r="I369">
        <v>0</v>
      </c>
      <c r="J369" t="s">
        <v>843</v>
      </c>
    </row>
    <row r="370" spans="1:10" x14ac:dyDescent="0.3">
      <c r="A370" t="s">
        <v>10</v>
      </c>
      <c r="B370" s="14" t="s">
        <v>936</v>
      </c>
      <c r="C370">
        <v>11000000</v>
      </c>
      <c r="D370">
        <v>103</v>
      </c>
      <c r="E370">
        <v>2</v>
      </c>
      <c r="F370">
        <v>9</v>
      </c>
      <c r="G370">
        <v>19</v>
      </c>
      <c r="H370">
        <v>0</v>
      </c>
      <c r="I370">
        <v>19</v>
      </c>
      <c r="J370" t="s">
        <v>843</v>
      </c>
    </row>
    <row r="371" spans="1:10" x14ac:dyDescent="0.3">
      <c r="A371" t="s">
        <v>10</v>
      </c>
      <c r="B371" s="14" t="s">
        <v>936</v>
      </c>
      <c r="C371">
        <v>9500000</v>
      </c>
      <c r="D371">
        <v>2</v>
      </c>
      <c r="E371">
        <v>0</v>
      </c>
      <c r="F371">
        <v>0</v>
      </c>
      <c r="G371">
        <v>0</v>
      </c>
      <c r="H371">
        <v>0</v>
      </c>
      <c r="I371">
        <v>0</v>
      </c>
      <c r="J371" t="s">
        <v>843</v>
      </c>
    </row>
    <row r="372" spans="1:10" x14ac:dyDescent="0.3">
      <c r="A372" t="s">
        <v>10</v>
      </c>
      <c r="B372" s="14" t="s">
        <v>936</v>
      </c>
      <c r="C372">
        <v>10500000</v>
      </c>
      <c r="D372">
        <v>3</v>
      </c>
      <c r="E372">
        <v>0</v>
      </c>
      <c r="F372">
        <v>0</v>
      </c>
      <c r="G372">
        <v>0</v>
      </c>
      <c r="H372">
        <v>0</v>
      </c>
      <c r="I372">
        <v>3</v>
      </c>
      <c r="J372" t="s">
        <v>843</v>
      </c>
    </row>
    <row r="373" spans="1:10" x14ac:dyDescent="0.3">
      <c r="A373" t="s">
        <v>10</v>
      </c>
      <c r="B373" s="14" t="s">
        <v>937</v>
      </c>
      <c r="C373">
        <v>15500000</v>
      </c>
      <c r="D373">
        <v>8</v>
      </c>
      <c r="E373">
        <v>0</v>
      </c>
      <c r="F373">
        <v>0</v>
      </c>
      <c r="G373">
        <v>0</v>
      </c>
      <c r="H373">
        <v>0</v>
      </c>
      <c r="I373">
        <v>0</v>
      </c>
      <c r="J373" t="s">
        <v>843</v>
      </c>
    </row>
    <row r="374" spans="1:10" x14ac:dyDescent="0.3">
      <c r="A374" t="s">
        <v>10</v>
      </c>
      <c r="B374" s="14" t="s">
        <v>938</v>
      </c>
      <c r="D374">
        <v>0</v>
      </c>
      <c r="E374">
        <v>0</v>
      </c>
      <c r="F374">
        <v>0</v>
      </c>
      <c r="G374">
        <v>0</v>
      </c>
      <c r="H374">
        <v>0</v>
      </c>
      <c r="I374">
        <v>0</v>
      </c>
      <c r="J374" t="s">
        <v>848</v>
      </c>
    </row>
    <row r="375" spans="1:10" x14ac:dyDescent="0.3">
      <c r="A375" t="s">
        <v>10</v>
      </c>
      <c r="B375" s="14" t="s">
        <v>939</v>
      </c>
      <c r="C375">
        <v>19500000</v>
      </c>
      <c r="D375">
        <v>2</v>
      </c>
      <c r="E375">
        <v>0</v>
      </c>
      <c r="F375">
        <v>0</v>
      </c>
      <c r="G375">
        <v>0</v>
      </c>
      <c r="H375">
        <v>0</v>
      </c>
      <c r="I375">
        <v>0</v>
      </c>
      <c r="J375" t="s">
        <v>843</v>
      </c>
    </row>
    <row r="376" spans="1:10" x14ac:dyDescent="0.3">
      <c r="A376" t="s">
        <v>10</v>
      </c>
      <c r="B376" s="14" t="s">
        <v>940</v>
      </c>
      <c r="C376">
        <v>14000000</v>
      </c>
      <c r="D376">
        <v>13</v>
      </c>
      <c r="E376">
        <v>0</v>
      </c>
      <c r="F376">
        <v>0</v>
      </c>
      <c r="G376">
        <v>3</v>
      </c>
      <c r="H376">
        <v>0</v>
      </c>
      <c r="I376">
        <v>0</v>
      </c>
      <c r="J376" t="s">
        <v>843</v>
      </c>
    </row>
    <row r="377" spans="1:10" x14ac:dyDescent="0.3">
      <c r="A377" t="s">
        <v>10</v>
      </c>
      <c r="B377" s="14" t="s">
        <v>940</v>
      </c>
      <c r="C377">
        <v>13100000</v>
      </c>
      <c r="D377">
        <v>10</v>
      </c>
      <c r="E377">
        <v>0</v>
      </c>
      <c r="F377">
        <v>2</v>
      </c>
      <c r="G377">
        <v>1</v>
      </c>
      <c r="H377">
        <v>0</v>
      </c>
      <c r="I377">
        <v>6</v>
      </c>
      <c r="J377" t="s">
        <v>843</v>
      </c>
    </row>
    <row r="378" spans="1:10" x14ac:dyDescent="0.3">
      <c r="A378" t="s">
        <v>10</v>
      </c>
      <c r="B378" s="14" t="s">
        <v>941</v>
      </c>
      <c r="C378">
        <v>19000000</v>
      </c>
      <c r="D378">
        <v>1</v>
      </c>
      <c r="E378">
        <v>0</v>
      </c>
      <c r="F378">
        <v>0</v>
      </c>
      <c r="G378">
        <v>0</v>
      </c>
      <c r="H378">
        <v>0</v>
      </c>
      <c r="I378">
        <v>0</v>
      </c>
      <c r="J378" t="s">
        <v>843</v>
      </c>
    </row>
    <row r="379" spans="1:10" x14ac:dyDescent="0.3">
      <c r="A379" t="s">
        <v>10</v>
      </c>
      <c r="B379" s="14" t="s">
        <v>942</v>
      </c>
      <c r="C379">
        <v>14000000</v>
      </c>
      <c r="D379">
        <v>9</v>
      </c>
      <c r="E379">
        <v>0</v>
      </c>
      <c r="F379">
        <v>1</v>
      </c>
      <c r="G379">
        <v>2</v>
      </c>
      <c r="H379">
        <v>0</v>
      </c>
      <c r="I379">
        <v>0</v>
      </c>
      <c r="J379" t="s">
        <v>843</v>
      </c>
    </row>
    <row r="380" spans="1:10" x14ac:dyDescent="0.3">
      <c r="A380" t="s">
        <v>10</v>
      </c>
      <c r="B380" s="14" t="s">
        <v>943</v>
      </c>
      <c r="C380">
        <v>14000000</v>
      </c>
      <c r="D380">
        <v>43</v>
      </c>
      <c r="E380">
        <v>2</v>
      </c>
      <c r="F380">
        <v>8</v>
      </c>
      <c r="G380">
        <v>12</v>
      </c>
      <c r="H380">
        <v>17</v>
      </c>
      <c r="I380">
        <v>17</v>
      </c>
      <c r="J380" t="s">
        <v>843</v>
      </c>
    </row>
    <row r="381" spans="1:10" x14ac:dyDescent="0.3">
      <c r="A381" t="s">
        <v>10</v>
      </c>
      <c r="B381" s="14" t="s">
        <v>944</v>
      </c>
      <c r="C381">
        <v>18000000</v>
      </c>
      <c r="D381">
        <v>4</v>
      </c>
      <c r="E381">
        <v>0</v>
      </c>
      <c r="F381">
        <v>0</v>
      </c>
      <c r="G381">
        <v>0</v>
      </c>
      <c r="H381">
        <v>0</v>
      </c>
      <c r="I381">
        <v>0</v>
      </c>
      <c r="J381" t="s">
        <v>843</v>
      </c>
    </row>
    <row r="382" spans="1:10" x14ac:dyDescent="0.3">
      <c r="A382" t="s">
        <v>10</v>
      </c>
      <c r="B382" s="14" t="s">
        <v>945</v>
      </c>
      <c r="C382">
        <v>12400000</v>
      </c>
      <c r="D382">
        <v>85</v>
      </c>
      <c r="E382">
        <v>5</v>
      </c>
      <c r="F382">
        <v>20</v>
      </c>
      <c r="G382">
        <v>42</v>
      </c>
      <c r="H382">
        <v>29</v>
      </c>
      <c r="I382">
        <v>55</v>
      </c>
      <c r="J382" t="s">
        <v>843</v>
      </c>
    </row>
    <row r="383" spans="1:10" x14ac:dyDescent="0.3">
      <c r="A383" t="s">
        <v>10</v>
      </c>
      <c r="B383" s="14" t="s">
        <v>945</v>
      </c>
      <c r="C383">
        <v>11700000</v>
      </c>
      <c r="D383">
        <v>5</v>
      </c>
      <c r="E383">
        <v>0</v>
      </c>
      <c r="F383">
        <v>0</v>
      </c>
      <c r="G383">
        <v>0</v>
      </c>
      <c r="H383">
        <v>0</v>
      </c>
      <c r="I383">
        <v>0</v>
      </c>
      <c r="J383" t="s">
        <v>843</v>
      </c>
    </row>
    <row r="384" spans="1:10" x14ac:dyDescent="0.3">
      <c r="A384" t="s">
        <v>10</v>
      </c>
      <c r="B384" s="14" t="s">
        <v>945</v>
      </c>
      <c r="C384">
        <v>8100000</v>
      </c>
      <c r="D384">
        <v>0</v>
      </c>
      <c r="E384">
        <v>0</v>
      </c>
      <c r="F384">
        <v>0</v>
      </c>
      <c r="G384">
        <v>0</v>
      </c>
      <c r="H384">
        <v>0</v>
      </c>
      <c r="I384">
        <v>0</v>
      </c>
      <c r="J384" t="s">
        <v>848</v>
      </c>
    </row>
    <row r="385" spans="1:10" x14ac:dyDescent="0.3">
      <c r="A385" t="s">
        <v>10</v>
      </c>
      <c r="B385" s="14" t="s">
        <v>945</v>
      </c>
      <c r="C385">
        <v>10700000</v>
      </c>
      <c r="D385">
        <v>0</v>
      </c>
      <c r="E385">
        <v>0</v>
      </c>
      <c r="F385">
        <v>0</v>
      </c>
      <c r="G385">
        <v>0</v>
      </c>
      <c r="H385">
        <v>0</v>
      </c>
      <c r="I385">
        <v>0</v>
      </c>
      <c r="J385" t="s">
        <v>848</v>
      </c>
    </row>
    <row r="386" spans="1:10" x14ac:dyDescent="0.3">
      <c r="A386" t="s">
        <v>10</v>
      </c>
      <c r="B386" s="14" t="s">
        <v>659</v>
      </c>
      <c r="C386">
        <v>22000000</v>
      </c>
      <c r="D386">
        <v>0</v>
      </c>
      <c r="E386">
        <v>0</v>
      </c>
      <c r="F386">
        <v>0</v>
      </c>
      <c r="G386">
        <v>0</v>
      </c>
      <c r="H386">
        <v>0</v>
      </c>
      <c r="I386">
        <v>0</v>
      </c>
      <c r="J386" t="s">
        <v>848</v>
      </c>
    </row>
    <row r="387" spans="1:10" x14ac:dyDescent="0.3">
      <c r="A387" t="s">
        <v>10</v>
      </c>
      <c r="B387" s="14" t="s">
        <v>946</v>
      </c>
      <c r="C387">
        <v>15000000</v>
      </c>
      <c r="D387">
        <v>1</v>
      </c>
      <c r="E387">
        <v>0</v>
      </c>
      <c r="F387">
        <v>0</v>
      </c>
      <c r="G387">
        <v>0</v>
      </c>
      <c r="H387">
        <v>0</v>
      </c>
      <c r="I387">
        <v>0</v>
      </c>
      <c r="J387" t="s">
        <v>843</v>
      </c>
    </row>
    <row r="388" spans="1:10" x14ac:dyDescent="0.3">
      <c r="A388" t="s">
        <v>10</v>
      </c>
      <c r="B388" s="14" t="s">
        <v>947</v>
      </c>
      <c r="C388">
        <v>22000000</v>
      </c>
      <c r="D388">
        <v>1</v>
      </c>
      <c r="E388">
        <v>0</v>
      </c>
      <c r="F388">
        <v>0</v>
      </c>
      <c r="G388">
        <v>1</v>
      </c>
      <c r="H388">
        <v>0</v>
      </c>
      <c r="I388">
        <v>0</v>
      </c>
      <c r="J388" t="s">
        <v>843</v>
      </c>
    </row>
    <row r="389" spans="1:10" x14ac:dyDescent="0.3">
      <c r="A389" t="s">
        <v>10</v>
      </c>
      <c r="B389" s="14" t="s">
        <v>948</v>
      </c>
      <c r="C389">
        <v>16800000</v>
      </c>
      <c r="D389">
        <v>2</v>
      </c>
      <c r="E389">
        <v>0</v>
      </c>
      <c r="F389">
        <v>0</v>
      </c>
      <c r="G389">
        <v>0</v>
      </c>
      <c r="H389">
        <v>0</v>
      </c>
      <c r="I389">
        <v>0</v>
      </c>
      <c r="J389" t="s">
        <v>843</v>
      </c>
    </row>
    <row r="390" spans="1:10" x14ac:dyDescent="0.3">
      <c r="A390" t="s">
        <v>10</v>
      </c>
      <c r="B390" s="14" t="s">
        <v>948</v>
      </c>
      <c r="C390">
        <v>17500000</v>
      </c>
      <c r="D390">
        <v>1</v>
      </c>
      <c r="E390">
        <v>0</v>
      </c>
      <c r="F390">
        <v>0</v>
      </c>
      <c r="G390">
        <v>0</v>
      </c>
      <c r="H390">
        <v>0</v>
      </c>
      <c r="I390">
        <v>0</v>
      </c>
      <c r="J390" t="s">
        <v>843</v>
      </c>
    </row>
    <row r="391" spans="1:10" x14ac:dyDescent="0.3">
      <c r="A391" t="s">
        <v>10</v>
      </c>
      <c r="B391" s="14" t="s">
        <v>949</v>
      </c>
      <c r="C391">
        <v>12500000</v>
      </c>
      <c r="D391">
        <v>0</v>
      </c>
      <c r="E391">
        <v>0</v>
      </c>
      <c r="F391">
        <v>0</v>
      </c>
      <c r="G391">
        <v>0</v>
      </c>
      <c r="H391">
        <v>0</v>
      </c>
      <c r="I391">
        <v>0</v>
      </c>
      <c r="J391" t="s">
        <v>848</v>
      </c>
    </row>
    <row r="392" spans="1:10" x14ac:dyDescent="0.3">
      <c r="A392" t="s">
        <v>10</v>
      </c>
      <c r="B392" s="14" t="s">
        <v>661</v>
      </c>
      <c r="C392">
        <v>28500000</v>
      </c>
      <c r="D392">
        <v>0</v>
      </c>
      <c r="E392">
        <v>0</v>
      </c>
      <c r="F392">
        <v>0</v>
      </c>
      <c r="G392">
        <v>0</v>
      </c>
      <c r="H392">
        <v>0</v>
      </c>
      <c r="I392">
        <v>0</v>
      </c>
      <c r="J392" t="s">
        <v>848</v>
      </c>
    </row>
    <row r="393" spans="1:10" x14ac:dyDescent="0.3">
      <c r="A393" t="s">
        <v>10</v>
      </c>
      <c r="B393" s="14" t="s">
        <v>950</v>
      </c>
      <c r="C393">
        <v>23500000</v>
      </c>
      <c r="D393">
        <v>1</v>
      </c>
      <c r="E393">
        <v>0</v>
      </c>
      <c r="F393">
        <v>0</v>
      </c>
      <c r="G393">
        <v>1</v>
      </c>
      <c r="H393">
        <v>0</v>
      </c>
      <c r="I393">
        <v>0</v>
      </c>
      <c r="J393" t="s">
        <v>843</v>
      </c>
    </row>
    <row r="394" spans="1:10" x14ac:dyDescent="0.3">
      <c r="A394" t="s">
        <v>10</v>
      </c>
      <c r="B394" s="14" t="s">
        <v>951</v>
      </c>
      <c r="C394">
        <v>15700000</v>
      </c>
      <c r="D394">
        <v>11</v>
      </c>
      <c r="E394">
        <v>0</v>
      </c>
      <c r="F394">
        <v>1</v>
      </c>
      <c r="G394">
        <v>3</v>
      </c>
      <c r="H394">
        <v>6</v>
      </c>
      <c r="I394">
        <v>6</v>
      </c>
      <c r="J394" t="s">
        <v>843</v>
      </c>
    </row>
    <row r="395" spans="1:10" x14ac:dyDescent="0.3">
      <c r="A395" t="s">
        <v>10</v>
      </c>
      <c r="B395" s="14" t="s">
        <v>951</v>
      </c>
      <c r="C395">
        <v>16400000</v>
      </c>
      <c r="D395">
        <v>41</v>
      </c>
      <c r="E395">
        <v>2</v>
      </c>
      <c r="F395">
        <v>4</v>
      </c>
      <c r="G395">
        <v>15</v>
      </c>
      <c r="H395">
        <v>0</v>
      </c>
      <c r="I395">
        <v>16</v>
      </c>
      <c r="J395" t="s">
        <v>843</v>
      </c>
    </row>
    <row r="396" spans="1:10" x14ac:dyDescent="0.3">
      <c r="A396" t="s">
        <v>10</v>
      </c>
      <c r="B396" s="14" t="s">
        <v>951</v>
      </c>
      <c r="C396">
        <v>13000000</v>
      </c>
      <c r="D396">
        <v>0</v>
      </c>
      <c r="E396">
        <v>0</v>
      </c>
      <c r="F396">
        <v>0</v>
      </c>
      <c r="G396">
        <v>0</v>
      </c>
      <c r="H396">
        <v>0</v>
      </c>
      <c r="I396">
        <v>0</v>
      </c>
      <c r="J396" t="s">
        <v>848</v>
      </c>
    </row>
    <row r="397" spans="1:10" x14ac:dyDescent="0.3">
      <c r="A397" t="s">
        <v>10</v>
      </c>
      <c r="B397" s="14" t="s">
        <v>952</v>
      </c>
      <c r="C397">
        <v>14500000</v>
      </c>
      <c r="D397">
        <v>1</v>
      </c>
      <c r="E397">
        <v>0</v>
      </c>
      <c r="F397">
        <v>0</v>
      </c>
      <c r="G397">
        <v>0</v>
      </c>
      <c r="H397">
        <v>0</v>
      </c>
      <c r="I397">
        <v>0</v>
      </c>
      <c r="J397" t="s">
        <v>843</v>
      </c>
    </row>
    <row r="398" spans="1:10" x14ac:dyDescent="0.3">
      <c r="A398" t="s">
        <v>10</v>
      </c>
      <c r="B398" s="14" t="s">
        <v>664</v>
      </c>
      <c r="C398">
        <v>26000000</v>
      </c>
      <c r="D398">
        <v>0</v>
      </c>
      <c r="E398">
        <v>0</v>
      </c>
      <c r="F398">
        <v>0</v>
      </c>
      <c r="G398">
        <v>0</v>
      </c>
      <c r="H398">
        <v>0</v>
      </c>
      <c r="I398">
        <v>0</v>
      </c>
      <c r="J398" t="s">
        <v>848</v>
      </c>
    </row>
    <row r="399" spans="1:10" x14ac:dyDescent="0.3">
      <c r="A399" t="s">
        <v>10</v>
      </c>
      <c r="B399" s="14" t="s">
        <v>953</v>
      </c>
      <c r="C399">
        <v>27500000</v>
      </c>
      <c r="D399">
        <v>0</v>
      </c>
      <c r="E399">
        <v>0</v>
      </c>
      <c r="F399">
        <v>0</v>
      </c>
      <c r="G399">
        <v>0</v>
      </c>
      <c r="H399">
        <v>0</v>
      </c>
      <c r="I399">
        <v>0</v>
      </c>
      <c r="J399" t="s">
        <v>848</v>
      </c>
    </row>
    <row r="400" spans="1:10" x14ac:dyDescent="0.3">
      <c r="A400" t="s">
        <v>10</v>
      </c>
      <c r="B400" s="14" t="s">
        <v>954</v>
      </c>
      <c r="C400">
        <v>20800000</v>
      </c>
      <c r="D400">
        <v>0</v>
      </c>
      <c r="E400">
        <v>0</v>
      </c>
      <c r="F400">
        <v>0</v>
      </c>
      <c r="G400">
        <v>1</v>
      </c>
      <c r="H400">
        <v>0</v>
      </c>
      <c r="I400">
        <v>0</v>
      </c>
      <c r="J400" t="s">
        <v>848</v>
      </c>
    </row>
    <row r="401" spans="1:10" x14ac:dyDescent="0.3">
      <c r="A401" t="s">
        <v>10</v>
      </c>
      <c r="B401" s="14" t="s">
        <v>954</v>
      </c>
      <c r="C401">
        <v>22000000</v>
      </c>
      <c r="D401">
        <v>19</v>
      </c>
      <c r="E401">
        <v>1</v>
      </c>
      <c r="F401">
        <v>2</v>
      </c>
      <c r="G401">
        <v>4</v>
      </c>
      <c r="H401">
        <v>0</v>
      </c>
      <c r="I401">
        <v>0</v>
      </c>
      <c r="J401" t="s">
        <v>843</v>
      </c>
    </row>
    <row r="402" spans="1:10" x14ac:dyDescent="0.3">
      <c r="A402" t="s">
        <v>10</v>
      </c>
      <c r="B402" s="14" t="s">
        <v>955</v>
      </c>
      <c r="C402">
        <v>15900000</v>
      </c>
      <c r="D402">
        <v>3</v>
      </c>
      <c r="E402">
        <v>0</v>
      </c>
      <c r="F402">
        <v>0</v>
      </c>
      <c r="G402">
        <v>0</v>
      </c>
      <c r="H402">
        <v>0</v>
      </c>
      <c r="I402">
        <v>0</v>
      </c>
      <c r="J402" t="s">
        <v>843</v>
      </c>
    </row>
    <row r="403" spans="1:10" x14ac:dyDescent="0.3">
      <c r="A403" t="s">
        <v>10</v>
      </c>
      <c r="B403" s="14" t="s">
        <v>955</v>
      </c>
      <c r="C403">
        <v>16600000</v>
      </c>
      <c r="D403">
        <v>23</v>
      </c>
      <c r="E403">
        <v>0</v>
      </c>
      <c r="F403">
        <v>0</v>
      </c>
      <c r="G403">
        <v>0</v>
      </c>
      <c r="H403">
        <v>0</v>
      </c>
      <c r="I403">
        <v>0</v>
      </c>
      <c r="J403" t="s">
        <v>843</v>
      </c>
    </row>
    <row r="404" spans="1:10" x14ac:dyDescent="0.3">
      <c r="A404" t="s">
        <v>10</v>
      </c>
      <c r="B404" s="14" t="s">
        <v>955</v>
      </c>
      <c r="C404">
        <v>15100000</v>
      </c>
      <c r="D404">
        <v>1</v>
      </c>
      <c r="E404">
        <v>0</v>
      </c>
      <c r="F404">
        <v>0</v>
      </c>
      <c r="G404">
        <v>0</v>
      </c>
      <c r="H404">
        <v>0</v>
      </c>
      <c r="I404">
        <v>0</v>
      </c>
      <c r="J404" t="s">
        <v>843</v>
      </c>
    </row>
    <row r="405" spans="1:10" x14ac:dyDescent="0.3">
      <c r="A405" t="s">
        <v>10</v>
      </c>
      <c r="B405" s="14" t="s">
        <v>956</v>
      </c>
      <c r="C405">
        <v>19000000</v>
      </c>
      <c r="D405">
        <v>2</v>
      </c>
      <c r="E405">
        <v>0</v>
      </c>
      <c r="F405">
        <v>2</v>
      </c>
      <c r="G405">
        <v>2</v>
      </c>
      <c r="H405">
        <v>0</v>
      </c>
      <c r="I405">
        <v>0</v>
      </c>
      <c r="J405" t="s">
        <v>843</v>
      </c>
    </row>
    <row r="406" spans="1:10" x14ac:dyDescent="0.3">
      <c r="A406" t="s">
        <v>10</v>
      </c>
      <c r="B406" s="14" t="s">
        <v>956</v>
      </c>
      <c r="C406">
        <v>16900000</v>
      </c>
      <c r="D406">
        <v>40</v>
      </c>
      <c r="E406">
        <v>1</v>
      </c>
      <c r="F406">
        <v>3</v>
      </c>
      <c r="G406">
        <v>9</v>
      </c>
      <c r="H406">
        <v>10</v>
      </c>
      <c r="I406">
        <v>10</v>
      </c>
      <c r="J406" t="s">
        <v>843</v>
      </c>
    </row>
    <row r="407" spans="1:10" x14ac:dyDescent="0.3">
      <c r="A407" t="s">
        <v>10</v>
      </c>
      <c r="B407" s="14" t="s">
        <v>957</v>
      </c>
      <c r="C407">
        <v>14700000</v>
      </c>
      <c r="D407">
        <v>2</v>
      </c>
      <c r="E407">
        <v>0</v>
      </c>
      <c r="F407">
        <v>0</v>
      </c>
      <c r="G407">
        <v>0</v>
      </c>
      <c r="H407">
        <v>0</v>
      </c>
      <c r="I407">
        <v>0</v>
      </c>
      <c r="J407" t="s">
        <v>843</v>
      </c>
    </row>
    <row r="408" spans="1:10" x14ac:dyDescent="0.3">
      <c r="A408" t="s">
        <v>10</v>
      </c>
      <c r="B408" s="14" t="s">
        <v>957</v>
      </c>
      <c r="D408">
        <v>0</v>
      </c>
      <c r="E408">
        <v>0</v>
      </c>
      <c r="F408">
        <v>0</v>
      </c>
      <c r="G408">
        <v>0</v>
      </c>
      <c r="H408">
        <v>0</v>
      </c>
      <c r="I408">
        <v>0</v>
      </c>
      <c r="J408" t="s">
        <v>848</v>
      </c>
    </row>
    <row r="409" spans="1:10" x14ac:dyDescent="0.3">
      <c r="A409" t="s">
        <v>10</v>
      </c>
      <c r="B409" s="14" t="s">
        <v>958</v>
      </c>
      <c r="C409">
        <v>14000000</v>
      </c>
      <c r="D409">
        <v>2</v>
      </c>
      <c r="E409">
        <v>0</v>
      </c>
      <c r="F409">
        <v>0</v>
      </c>
      <c r="G409">
        <v>0</v>
      </c>
      <c r="H409">
        <v>0</v>
      </c>
      <c r="I409">
        <v>0</v>
      </c>
      <c r="J409" t="s">
        <v>843</v>
      </c>
    </row>
    <row r="410" spans="1:10" x14ac:dyDescent="0.3">
      <c r="A410" t="s">
        <v>10</v>
      </c>
      <c r="B410" s="14" t="s">
        <v>959</v>
      </c>
      <c r="C410">
        <v>21000000</v>
      </c>
      <c r="D410">
        <v>3</v>
      </c>
      <c r="E410">
        <v>0</v>
      </c>
      <c r="F410">
        <v>0</v>
      </c>
      <c r="G410">
        <v>0</v>
      </c>
      <c r="H410">
        <v>0</v>
      </c>
      <c r="I410">
        <v>0</v>
      </c>
      <c r="J410" t="s">
        <v>843</v>
      </c>
    </row>
    <row r="411" spans="1:10" x14ac:dyDescent="0.3">
      <c r="A411" t="s">
        <v>10</v>
      </c>
      <c r="B411" s="14" t="s">
        <v>960</v>
      </c>
      <c r="C411">
        <v>15000000</v>
      </c>
      <c r="D411">
        <v>154</v>
      </c>
      <c r="E411">
        <v>15</v>
      </c>
      <c r="F411">
        <v>42</v>
      </c>
      <c r="G411">
        <v>101</v>
      </c>
      <c r="H411">
        <v>16</v>
      </c>
      <c r="I411">
        <v>31</v>
      </c>
      <c r="J411" t="s">
        <v>843</v>
      </c>
    </row>
    <row r="412" spans="1:10" x14ac:dyDescent="0.3">
      <c r="A412" t="s">
        <v>10</v>
      </c>
      <c r="B412" s="14" t="s">
        <v>960</v>
      </c>
      <c r="C412">
        <v>14250000</v>
      </c>
      <c r="D412">
        <v>8</v>
      </c>
      <c r="E412">
        <v>0</v>
      </c>
      <c r="F412">
        <v>0</v>
      </c>
      <c r="G412">
        <v>1</v>
      </c>
      <c r="H412">
        <v>0</v>
      </c>
      <c r="I412">
        <v>0</v>
      </c>
      <c r="J412" t="s">
        <v>843</v>
      </c>
    </row>
    <row r="413" spans="1:10" x14ac:dyDescent="0.3">
      <c r="A413" t="s">
        <v>10</v>
      </c>
      <c r="B413" s="14" t="s">
        <v>352</v>
      </c>
      <c r="C413">
        <v>23500000</v>
      </c>
      <c r="D413">
        <v>0</v>
      </c>
      <c r="E413">
        <v>0</v>
      </c>
      <c r="F413">
        <v>0</v>
      </c>
      <c r="G413">
        <v>0</v>
      </c>
      <c r="H413">
        <v>0</v>
      </c>
      <c r="I413">
        <v>0</v>
      </c>
      <c r="J413" t="s">
        <v>848</v>
      </c>
    </row>
    <row r="414" spans="1:10" x14ac:dyDescent="0.3">
      <c r="A414" t="s">
        <v>10</v>
      </c>
      <c r="B414" s="14" t="s">
        <v>667</v>
      </c>
      <c r="C414">
        <v>23000000</v>
      </c>
      <c r="D414">
        <v>0</v>
      </c>
      <c r="E414">
        <v>0</v>
      </c>
      <c r="F414">
        <v>0</v>
      </c>
      <c r="G414">
        <v>0</v>
      </c>
      <c r="H414">
        <v>0</v>
      </c>
      <c r="I414">
        <v>0</v>
      </c>
      <c r="J414" t="s">
        <v>848</v>
      </c>
    </row>
    <row r="415" spans="1:10" x14ac:dyDescent="0.3">
      <c r="A415" t="s">
        <v>10</v>
      </c>
      <c r="B415" s="14" t="s">
        <v>961</v>
      </c>
      <c r="C415">
        <v>19000000</v>
      </c>
      <c r="D415">
        <v>39</v>
      </c>
      <c r="E415">
        <v>2</v>
      </c>
      <c r="F415">
        <v>9</v>
      </c>
      <c r="G415">
        <v>10</v>
      </c>
      <c r="H415">
        <v>0</v>
      </c>
      <c r="I415">
        <v>0</v>
      </c>
      <c r="J415" t="s">
        <v>843</v>
      </c>
    </row>
    <row r="416" spans="1:10" x14ac:dyDescent="0.3">
      <c r="A416" t="s">
        <v>264</v>
      </c>
      <c r="B416" s="14" t="s">
        <v>962</v>
      </c>
      <c r="C416">
        <v>15000000</v>
      </c>
      <c r="D416">
        <v>1</v>
      </c>
      <c r="E416">
        <v>0</v>
      </c>
      <c r="F416">
        <v>0</v>
      </c>
      <c r="G416">
        <v>0</v>
      </c>
      <c r="H416">
        <v>0</v>
      </c>
      <c r="I416">
        <v>0</v>
      </c>
      <c r="J416" t="s">
        <v>843</v>
      </c>
    </row>
    <row r="417" spans="1:10" x14ac:dyDescent="0.3">
      <c r="A417" t="s">
        <v>264</v>
      </c>
      <c r="B417" s="14" t="s">
        <v>963</v>
      </c>
      <c r="C417">
        <v>11500000</v>
      </c>
      <c r="D417">
        <v>1</v>
      </c>
      <c r="E417">
        <v>0</v>
      </c>
      <c r="F417">
        <v>0</v>
      </c>
      <c r="G417">
        <v>0</v>
      </c>
      <c r="H417">
        <v>0</v>
      </c>
      <c r="I417">
        <v>0</v>
      </c>
      <c r="J417" t="s">
        <v>843</v>
      </c>
    </row>
    <row r="418" spans="1:10" x14ac:dyDescent="0.3">
      <c r="A418" t="s">
        <v>264</v>
      </c>
      <c r="B418" s="14" t="s">
        <v>964</v>
      </c>
      <c r="C418">
        <v>15500000</v>
      </c>
      <c r="D418">
        <v>1</v>
      </c>
      <c r="E418">
        <v>0</v>
      </c>
      <c r="F418">
        <v>0</v>
      </c>
      <c r="G418">
        <v>0</v>
      </c>
      <c r="H418">
        <v>0</v>
      </c>
      <c r="I418">
        <v>0</v>
      </c>
      <c r="J418" t="s">
        <v>843</v>
      </c>
    </row>
    <row r="419" spans="1:10" x14ac:dyDescent="0.3">
      <c r="A419" t="s">
        <v>264</v>
      </c>
      <c r="B419" s="14" t="s">
        <v>965</v>
      </c>
      <c r="C419">
        <v>24000000</v>
      </c>
      <c r="D419">
        <v>5</v>
      </c>
      <c r="E419">
        <v>0</v>
      </c>
      <c r="F419">
        <v>0</v>
      </c>
      <c r="G419">
        <v>0</v>
      </c>
      <c r="H419">
        <v>0</v>
      </c>
      <c r="I419">
        <v>0</v>
      </c>
      <c r="J419" t="s">
        <v>843</v>
      </c>
    </row>
    <row r="420" spans="1:10" x14ac:dyDescent="0.3">
      <c r="A420" t="s">
        <v>264</v>
      </c>
      <c r="B420" s="14" t="s">
        <v>966</v>
      </c>
      <c r="C420">
        <v>21500000</v>
      </c>
      <c r="D420">
        <v>0</v>
      </c>
      <c r="E420">
        <v>0</v>
      </c>
      <c r="F420">
        <v>0</v>
      </c>
      <c r="G420">
        <v>0</v>
      </c>
      <c r="H420">
        <v>0</v>
      </c>
      <c r="I420">
        <v>0</v>
      </c>
      <c r="J420" t="s">
        <v>848</v>
      </c>
    </row>
    <row r="421" spans="1:10" x14ac:dyDescent="0.3">
      <c r="A421" t="s">
        <v>264</v>
      </c>
      <c r="B421" s="14" t="s">
        <v>967</v>
      </c>
      <c r="C421">
        <v>17000000</v>
      </c>
      <c r="D421">
        <v>0</v>
      </c>
      <c r="E421">
        <v>0</v>
      </c>
      <c r="F421">
        <v>0</v>
      </c>
      <c r="G421">
        <v>0</v>
      </c>
      <c r="H421">
        <v>0</v>
      </c>
      <c r="I421">
        <v>0</v>
      </c>
      <c r="J421" t="s">
        <v>848</v>
      </c>
    </row>
    <row r="422" spans="1:10" x14ac:dyDescent="0.3">
      <c r="A422" t="s">
        <v>264</v>
      </c>
      <c r="B422" s="14" t="s">
        <v>968</v>
      </c>
      <c r="C422">
        <v>10000000</v>
      </c>
      <c r="D422">
        <v>0</v>
      </c>
      <c r="E422">
        <v>0</v>
      </c>
      <c r="F422">
        <v>0</v>
      </c>
      <c r="G422">
        <v>0</v>
      </c>
      <c r="H422">
        <v>0</v>
      </c>
      <c r="I422">
        <v>0</v>
      </c>
      <c r="J422" t="s">
        <v>848</v>
      </c>
    </row>
    <row r="423" spans="1:10" x14ac:dyDescent="0.3">
      <c r="A423" t="s">
        <v>264</v>
      </c>
      <c r="B423" s="14" t="s">
        <v>969</v>
      </c>
      <c r="C423">
        <v>16900000</v>
      </c>
      <c r="D423">
        <v>0</v>
      </c>
      <c r="E423">
        <v>0</v>
      </c>
      <c r="F423">
        <v>1</v>
      </c>
      <c r="G423">
        <v>1</v>
      </c>
      <c r="H423">
        <v>0</v>
      </c>
      <c r="I423">
        <v>0</v>
      </c>
      <c r="J423" t="s">
        <v>848</v>
      </c>
    </row>
    <row r="424" spans="1:10" x14ac:dyDescent="0.3">
      <c r="A424" t="s">
        <v>264</v>
      </c>
      <c r="B424" s="14" t="s">
        <v>970</v>
      </c>
      <c r="C424">
        <v>14100000</v>
      </c>
      <c r="D424">
        <v>0</v>
      </c>
      <c r="E424">
        <v>0</v>
      </c>
      <c r="F424">
        <v>0</v>
      </c>
      <c r="G424">
        <v>0</v>
      </c>
      <c r="H424">
        <v>0</v>
      </c>
      <c r="I424">
        <v>0</v>
      </c>
      <c r="J424" t="s">
        <v>848</v>
      </c>
    </row>
    <row r="425" spans="1:10" x14ac:dyDescent="0.3">
      <c r="A425" t="s">
        <v>264</v>
      </c>
      <c r="B425" s="14" t="s">
        <v>970</v>
      </c>
      <c r="C425">
        <v>15500000</v>
      </c>
      <c r="D425">
        <v>1</v>
      </c>
      <c r="E425">
        <v>0</v>
      </c>
      <c r="F425">
        <v>0</v>
      </c>
      <c r="G425">
        <v>0</v>
      </c>
      <c r="H425">
        <v>0</v>
      </c>
      <c r="I425">
        <v>0</v>
      </c>
      <c r="J425" t="s">
        <v>843</v>
      </c>
    </row>
    <row r="426" spans="1:10" x14ac:dyDescent="0.3">
      <c r="A426" t="s">
        <v>264</v>
      </c>
      <c r="B426" s="14" t="s">
        <v>971</v>
      </c>
      <c r="C426">
        <v>17500000</v>
      </c>
      <c r="D426">
        <v>1</v>
      </c>
      <c r="E426">
        <v>0</v>
      </c>
      <c r="F426">
        <v>0</v>
      </c>
      <c r="G426">
        <v>0</v>
      </c>
      <c r="H426">
        <v>0</v>
      </c>
      <c r="I426">
        <v>0</v>
      </c>
      <c r="J426" t="s">
        <v>843</v>
      </c>
    </row>
    <row r="427" spans="1:10" x14ac:dyDescent="0.3">
      <c r="A427" t="s">
        <v>264</v>
      </c>
      <c r="B427" s="14" t="s">
        <v>972</v>
      </c>
      <c r="C427">
        <v>13500000</v>
      </c>
      <c r="D427">
        <v>1</v>
      </c>
      <c r="E427">
        <v>0</v>
      </c>
      <c r="F427">
        <v>0</v>
      </c>
      <c r="G427">
        <v>0</v>
      </c>
      <c r="H427">
        <v>0</v>
      </c>
      <c r="I427">
        <v>0</v>
      </c>
      <c r="J427" t="s">
        <v>843</v>
      </c>
    </row>
    <row r="428" spans="1:10" x14ac:dyDescent="0.3">
      <c r="A428" t="s">
        <v>264</v>
      </c>
      <c r="B428" s="14" t="s">
        <v>973</v>
      </c>
      <c r="C428">
        <v>27000000</v>
      </c>
      <c r="D428">
        <v>0</v>
      </c>
      <c r="E428">
        <v>0</v>
      </c>
      <c r="F428">
        <v>0</v>
      </c>
      <c r="G428">
        <v>0</v>
      </c>
      <c r="H428">
        <v>0</v>
      </c>
      <c r="I428">
        <v>0</v>
      </c>
      <c r="J428" t="s">
        <v>848</v>
      </c>
    </row>
    <row r="429" spans="1:10" x14ac:dyDescent="0.3">
      <c r="A429" t="s">
        <v>264</v>
      </c>
      <c r="B429" s="14" t="s">
        <v>694</v>
      </c>
      <c r="C429">
        <v>21000000</v>
      </c>
      <c r="D429">
        <v>0</v>
      </c>
      <c r="E429">
        <v>0</v>
      </c>
      <c r="F429">
        <v>0</v>
      </c>
      <c r="G429">
        <v>0</v>
      </c>
      <c r="H429">
        <v>0</v>
      </c>
      <c r="I429">
        <v>0</v>
      </c>
      <c r="J429" t="s">
        <v>848</v>
      </c>
    </row>
    <row r="430" spans="1:10" x14ac:dyDescent="0.3">
      <c r="A430" t="s">
        <v>264</v>
      </c>
      <c r="B430" s="14" t="s">
        <v>974</v>
      </c>
      <c r="C430">
        <v>31500000</v>
      </c>
      <c r="D430">
        <v>1</v>
      </c>
      <c r="E430">
        <v>0</v>
      </c>
      <c r="F430">
        <v>0</v>
      </c>
      <c r="G430">
        <v>0</v>
      </c>
      <c r="H430">
        <v>0</v>
      </c>
      <c r="I430">
        <v>0</v>
      </c>
      <c r="J430" t="s">
        <v>843</v>
      </c>
    </row>
    <row r="431" spans="1:10" x14ac:dyDescent="0.3">
      <c r="A431" t="s">
        <v>264</v>
      </c>
      <c r="B431" s="14" t="s">
        <v>975</v>
      </c>
      <c r="C431">
        <v>21000000</v>
      </c>
      <c r="D431">
        <v>1</v>
      </c>
      <c r="E431">
        <v>0</v>
      </c>
      <c r="F431">
        <v>0</v>
      </c>
      <c r="G431">
        <v>0</v>
      </c>
      <c r="H431">
        <v>0</v>
      </c>
      <c r="I431">
        <v>0</v>
      </c>
      <c r="J431" t="s">
        <v>843</v>
      </c>
    </row>
    <row r="432" spans="1:10" x14ac:dyDescent="0.3">
      <c r="A432" t="s">
        <v>264</v>
      </c>
      <c r="B432" s="14" t="s">
        <v>976</v>
      </c>
      <c r="C432">
        <v>21000000</v>
      </c>
      <c r="D432">
        <v>1</v>
      </c>
      <c r="E432">
        <v>0</v>
      </c>
      <c r="F432">
        <v>0</v>
      </c>
      <c r="G432">
        <v>0</v>
      </c>
      <c r="H432">
        <v>0</v>
      </c>
      <c r="I432">
        <v>0</v>
      </c>
      <c r="J432" t="s">
        <v>843</v>
      </c>
    </row>
    <row r="433" spans="1:10" x14ac:dyDescent="0.3">
      <c r="A433" t="s">
        <v>264</v>
      </c>
      <c r="B433" s="14" t="s">
        <v>977</v>
      </c>
      <c r="C433">
        <v>19000000</v>
      </c>
      <c r="D433">
        <v>0</v>
      </c>
      <c r="E433">
        <v>0</v>
      </c>
      <c r="F433">
        <v>0</v>
      </c>
      <c r="G433">
        <v>0</v>
      </c>
      <c r="H433">
        <v>0</v>
      </c>
      <c r="I433">
        <v>0</v>
      </c>
      <c r="J433" t="s">
        <v>848</v>
      </c>
    </row>
    <row r="434" spans="1:10" x14ac:dyDescent="0.3">
      <c r="A434" t="s">
        <v>264</v>
      </c>
      <c r="B434" s="14" t="s">
        <v>978</v>
      </c>
      <c r="C434">
        <v>17000000</v>
      </c>
      <c r="D434">
        <v>0</v>
      </c>
      <c r="E434">
        <v>0</v>
      </c>
      <c r="F434">
        <v>1</v>
      </c>
      <c r="G434">
        <v>1</v>
      </c>
      <c r="H434">
        <v>0</v>
      </c>
      <c r="I434">
        <v>0</v>
      </c>
      <c r="J434" t="s">
        <v>848</v>
      </c>
    </row>
    <row r="435" spans="1:10" x14ac:dyDescent="0.3">
      <c r="A435" t="s">
        <v>264</v>
      </c>
      <c r="B435" s="14" t="s">
        <v>699</v>
      </c>
      <c r="C435">
        <v>31000000</v>
      </c>
      <c r="D435">
        <v>1</v>
      </c>
      <c r="E435">
        <v>0</v>
      </c>
      <c r="F435">
        <v>0</v>
      </c>
      <c r="G435">
        <v>0</v>
      </c>
      <c r="H435">
        <v>0</v>
      </c>
      <c r="I435">
        <v>0</v>
      </c>
      <c r="J435" t="s">
        <v>843</v>
      </c>
    </row>
    <row r="436" spans="1:10" x14ac:dyDescent="0.3">
      <c r="A436" t="s">
        <v>264</v>
      </c>
      <c r="B436" s="14" t="s">
        <v>700</v>
      </c>
      <c r="C436">
        <v>34000000</v>
      </c>
      <c r="D436">
        <v>1</v>
      </c>
      <c r="E436">
        <v>0</v>
      </c>
      <c r="F436">
        <v>0</v>
      </c>
      <c r="G436">
        <v>0</v>
      </c>
      <c r="H436">
        <v>0</v>
      </c>
      <c r="I436">
        <v>0</v>
      </c>
      <c r="J436" t="s">
        <v>843</v>
      </c>
    </row>
    <row r="437" spans="1:10" x14ac:dyDescent="0.3">
      <c r="A437" t="s">
        <v>264</v>
      </c>
      <c r="B437" s="14" t="s">
        <v>979</v>
      </c>
      <c r="D437">
        <v>1</v>
      </c>
      <c r="E437">
        <v>0</v>
      </c>
      <c r="F437">
        <v>0</v>
      </c>
      <c r="G437">
        <v>0</v>
      </c>
      <c r="H437">
        <v>0</v>
      </c>
      <c r="I437">
        <v>0</v>
      </c>
      <c r="J437" t="s">
        <v>843</v>
      </c>
    </row>
    <row r="438" spans="1:10" x14ac:dyDescent="0.3">
      <c r="A438" t="s">
        <v>264</v>
      </c>
      <c r="B438" s="14" t="s">
        <v>980</v>
      </c>
      <c r="C438">
        <v>18000000</v>
      </c>
      <c r="D438">
        <v>7</v>
      </c>
      <c r="E438">
        <v>0</v>
      </c>
      <c r="F438">
        <v>0</v>
      </c>
      <c r="G438">
        <v>0</v>
      </c>
      <c r="H438">
        <v>0</v>
      </c>
      <c r="I438">
        <v>0</v>
      </c>
      <c r="J438" t="s">
        <v>843</v>
      </c>
    </row>
    <row r="439" spans="1:10" x14ac:dyDescent="0.3">
      <c r="A439" t="s">
        <v>264</v>
      </c>
      <c r="B439" s="14" t="s">
        <v>980</v>
      </c>
      <c r="C439">
        <v>19000000</v>
      </c>
      <c r="D439">
        <v>6</v>
      </c>
      <c r="E439">
        <v>0</v>
      </c>
      <c r="F439">
        <v>0</v>
      </c>
      <c r="G439">
        <v>0</v>
      </c>
      <c r="H439">
        <v>0</v>
      </c>
      <c r="I439">
        <v>0</v>
      </c>
      <c r="J439" t="s">
        <v>843</v>
      </c>
    </row>
    <row r="440" spans="1:10" x14ac:dyDescent="0.3">
      <c r="A440" t="s">
        <v>264</v>
      </c>
      <c r="B440" s="14" t="s">
        <v>981</v>
      </c>
      <c r="C440">
        <v>19000000</v>
      </c>
      <c r="D440">
        <v>0</v>
      </c>
      <c r="E440">
        <v>0</v>
      </c>
      <c r="F440">
        <v>1</v>
      </c>
      <c r="G440">
        <v>1</v>
      </c>
      <c r="H440">
        <v>0</v>
      </c>
      <c r="I440">
        <v>0</v>
      </c>
      <c r="J440" t="s">
        <v>848</v>
      </c>
    </row>
    <row r="441" spans="1:10" x14ac:dyDescent="0.3">
      <c r="A441" t="s">
        <v>264</v>
      </c>
      <c r="B441" s="14" t="s">
        <v>981</v>
      </c>
      <c r="C441">
        <v>20000000</v>
      </c>
      <c r="D441">
        <v>0</v>
      </c>
      <c r="E441">
        <v>0</v>
      </c>
      <c r="F441">
        <v>0</v>
      </c>
      <c r="G441">
        <v>0</v>
      </c>
      <c r="H441">
        <v>0</v>
      </c>
      <c r="I441">
        <v>0</v>
      </c>
      <c r="J441" t="s">
        <v>843</v>
      </c>
    </row>
    <row r="442" spans="1:10" x14ac:dyDescent="0.3">
      <c r="A442" t="s">
        <v>156</v>
      </c>
      <c r="B442" s="14" t="s">
        <v>982</v>
      </c>
      <c r="C442">
        <v>4800000</v>
      </c>
      <c r="D442">
        <v>0</v>
      </c>
      <c r="E442">
        <v>0</v>
      </c>
      <c r="F442">
        <v>0</v>
      </c>
      <c r="G442">
        <v>0</v>
      </c>
      <c r="H442">
        <v>0</v>
      </c>
      <c r="I442">
        <v>0</v>
      </c>
      <c r="J442" t="s">
        <v>848</v>
      </c>
    </row>
    <row r="443" spans="1:10" x14ac:dyDescent="0.3">
      <c r="A443" t="s">
        <v>156</v>
      </c>
      <c r="B443" s="14" t="s">
        <v>983</v>
      </c>
      <c r="C443">
        <v>4500000</v>
      </c>
      <c r="D443">
        <v>1</v>
      </c>
      <c r="E443">
        <v>0</v>
      </c>
      <c r="F443">
        <v>1</v>
      </c>
      <c r="G443">
        <v>2</v>
      </c>
      <c r="H443">
        <v>0</v>
      </c>
      <c r="I443">
        <v>0</v>
      </c>
      <c r="J443" t="s">
        <v>843</v>
      </c>
    </row>
    <row r="444" spans="1:10" x14ac:dyDescent="0.3">
      <c r="A444" t="s">
        <v>156</v>
      </c>
      <c r="B444" s="14" t="s">
        <v>984</v>
      </c>
      <c r="C444">
        <v>4400000</v>
      </c>
      <c r="D444">
        <v>0</v>
      </c>
      <c r="E444">
        <v>0</v>
      </c>
      <c r="F444">
        <v>0</v>
      </c>
      <c r="G444">
        <v>0</v>
      </c>
      <c r="H444">
        <v>0</v>
      </c>
      <c r="I444">
        <v>0</v>
      </c>
      <c r="J444" t="s">
        <v>848</v>
      </c>
    </row>
    <row r="445" spans="1:10" x14ac:dyDescent="0.3">
      <c r="A445" t="s">
        <v>156</v>
      </c>
      <c r="B445" s="14" t="s">
        <v>985</v>
      </c>
      <c r="C445">
        <v>4000000</v>
      </c>
      <c r="D445">
        <v>0</v>
      </c>
      <c r="E445">
        <v>0</v>
      </c>
      <c r="F445">
        <v>0</v>
      </c>
      <c r="G445">
        <v>1</v>
      </c>
      <c r="H445">
        <v>0</v>
      </c>
      <c r="I445">
        <v>0</v>
      </c>
      <c r="J445" t="s">
        <v>848</v>
      </c>
    </row>
    <row r="446" spans="1:10" x14ac:dyDescent="0.3">
      <c r="A446" t="s">
        <v>156</v>
      </c>
      <c r="B446" s="14" t="s">
        <v>985</v>
      </c>
      <c r="C446">
        <v>3600000</v>
      </c>
      <c r="D446">
        <v>0</v>
      </c>
      <c r="E446">
        <v>0</v>
      </c>
      <c r="F446">
        <v>1</v>
      </c>
      <c r="G446">
        <v>1</v>
      </c>
      <c r="H446">
        <v>0</v>
      </c>
      <c r="I446">
        <v>0</v>
      </c>
      <c r="J446" t="s">
        <v>848</v>
      </c>
    </row>
    <row r="447" spans="1:10" x14ac:dyDescent="0.3">
      <c r="A447" t="s">
        <v>156</v>
      </c>
      <c r="B447" s="14" t="s">
        <v>985</v>
      </c>
      <c r="C447">
        <v>3200000</v>
      </c>
      <c r="D447">
        <v>0</v>
      </c>
      <c r="E447">
        <v>0</v>
      </c>
      <c r="F447">
        <v>0</v>
      </c>
      <c r="G447">
        <v>0</v>
      </c>
      <c r="H447">
        <v>0</v>
      </c>
      <c r="I447">
        <v>0</v>
      </c>
      <c r="J447" t="s">
        <v>848</v>
      </c>
    </row>
    <row r="448" spans="1:10" x14ac:dyDescent="0.3">
      <c r="A448" t="s">
        <v>156</v>
      </c>
      <c r="B448" s="14" t="s">
        <v>986</v>
      </c>
      <c r="C448">
        <v>4400000</v>
      </c>
      <c r="D448">
        <v>0</v>
      </c>
      <c r="E448">
        <v>0</v>
      </c>
      <c r="F448">
        <v>0</v>
      </c>
      <c r="G448">
        <v>0</v>
      </c>
      <c r="H448">
        <v>0</v>
      </c>
      <c r="I448">
        <v>0</v>
      </c>
      <c r="J448" t="s">
        <v>848</v>
      </c>
    </row>
    <row r="449" spans="1:10" x14ac:dyDescent="0.3">
      <c r="A449" t="s">
        <v>156</v>
      </c>
      <c r="B449" s="14" t="s">
        <v>987</v>
      </c>
      <c r="C449">
        <v>4800000</v>
      </c>
      <c r="D449">
        <v>13</v>
      </c>
      <c r="E449">
        <v>1</v>
      </c>
      <c r="F449">
        <v>2</v>
      </c>
      <c r="G449">
        <v>2</v>
      </c>
      <c r="H449">
        <v>0</v>
      </c>
      <c r="I449">
        <v>0</v>
      </c>
      <c r="J449" t="s">
        <v>843</v>
      </c>
    </row>
    <row r="450" spans="1:10" x14ac:dyDescent="0.3">
      <c r="A450" t="s">
        <v>156</v>
      </c>
      <c r="B450" s="14" t="s">
        <v>988</v>
      </c>
      <c r="C450">
        <v>4100000</v>
      </c>
      <c r="D450">
        <v>0</v>
      </c>
      <c r="E450">
        <v>0</v>
      </c>
      <c r="F450">
        <v>0</v>
      </c>
      <c r="G450">
        <v>0</v>
      </c>
      <c r="H450">
        <v>0</v>
      </c>
      <c r="I450">
        <v>0</v>
      </c>
      <c r="J450" t="s">
        <v>848</v>
      </c>
    </row>
    <row r="451" spans="1:10" x14ac:dyDescent="0.3">
      <c r="A451" t="s">
        <v>156</v>
      </c>
      <c r="B451" s="14" t="s">
        <v>989</v>
      </c>
      <c r="C451">
        <v>5200000</v>
      </c>
      <c r="D451">
        <v>0</v>
      </c>
      <c r="E451">
        <v>0</v>
      </c>
      <c r="F451">
        <v>0</v>
      </c>
      <c r="G451">
        <v>0</v>
      </c>
      <c r="H451">
        <v>0</v>
      </c>
      <c r="I451">
        <v>0</v>
      </c>
      <c r="J451" t="s">
        <v>848</v>
      </c>
    </row>
    <row r="452" spans="1:10" x14ac:dyDescent="0.3">
      <c r="A452" t="s">
        <v>156</v>
      </c>
      <c r="B452" s="14" t="s">
        <v>990</v>
      </c>
      <c r="C452">
        <v>7000000</v>
      </c>
      <c r="D452">
        <v>0</v>
      </c>
      <c r="E452">
        <v>0</v>
      </c>
      <c r="F452">
        <v>0</v>
      </c>
      <c r="G452">
        <v>0</v>
      </c>
      <c r="H452">
        <v>0</v>
      </c>
      <c r="I452">
        <v>0</v>
      </c>
      <c r="J452" t="s">
        <v>848</v>
      </c>
    </row>
    <row r="453" spans="1:10" x14ac:dyDescent="0.3">
      <c r="A453" t="s">
        <v>156</v>
      </c>
      <c r="B453" s="14" t="s">
        <v>991</v>
      </c>
      <c r="C453">
        <v>5200000</v>
      </c>
      <c r="D453">
        <v>0</v>
      </c>
      <c r="E453">
        <v>0</v>
      </c>
      <c r="F453">
        <v>0</v>
      </c>
      <c r="G453">
        <v>0</v>
      </c>
      <c r="H453">
        <v>0</v>
      </c>
      <c r="I453">
        <v>0</v>
      </c>
      <c r="J453" t="s">
        <v>848</v>
      </c>
    </row>
    <row r="454" spans="1:10" x14ac:dyDescent="0.3">
      <c r="A454" t="s">
        <v>156</v>
      </c>
      <c r="B454" s="14" t="s">
        <v>992</v>
      </c>
      <c r="C454">
        <v>6600000</v>
      </c>
      <c r="D454">
        <v>0</v>
      </c>
      <c r="E454">
        <v>0</v>
      </c>
      <c r="F454">
        <v>0</v>
      </c>
      <c r="G454">
        <v>0</v>
      </c>
      <c r="H454">
        <v>0</v>
      </c>
      <c r="I454">
        <v>0</v>
      </c>
      <c r="J454" t="s">
        <v>848</v>
      </c>
    </row>
    <row r="455" spans="1:10" x14ac:dyDescent="0.3">
      <c r="A455" t="s">
        <v>156</v>
      </c>
      <c r="B455" s="14" t="s">
        <v>993</v>
      </c>
      <c r="C455">
        <v>5200000</v>
      </c>
      <c r="D455">
        <v>0</v>
      </c>
      <c r="E455">
        <v>0</v>
      </c>
      <c r="F455">
        <v>0</v>
      </c>
      <c r="G455">
        <v>0</v>
      </c>
      <c r="H455">
        <v>0</v>
      </c>
      <c r="I455">
        <v>0</v>
      </c>
      <c r="J455" t="s">
        <v>848</v>
      </c>
    </row>
    <row r="456" spans="1:10" x14ac:dyDescent="0.3">
      <c r="A456" t="s">
        <v>156</v>
      </c>
      <c r="B456" s="14" t="s">
        <v>993</v>
      </c>
      <c r="C456">
        <v>5400000</v>
      </c>
      <c r="D456">
        <v>1</v>
      </c>
      <c r="E456">
        <v>0</v>
      </c>
      <c r="F456">
        <v>0</v>
      </c>
      <c r="G456">
        <v>0</v>
      </c>
      <c r="H456">
        <v>0</v>
      </c>
      <c r="I456">
        <v>0</v>
      </c>
      <c r="J456" t="s">
        <v>843</v>
      </c>
    </row>
    <row r="457" spans="1:10" x14ac:dyDescent="0.3">
      <c r="A457" t="s">
        <v>156</v>
      </c>
      <c r="B457" s="14" t="s">
        <v>994</v>
      </c>
      <c r="C457">
        <v>5400000</v>
      </c>
      <c r="D457">
        <v>0</v>
      </c>
      <c r="E457">
        <v>0</v>
      </c>
      <c r="F457">
        <v>0</v>
      </c>
      <c r="G457">
        <v>0</v>
      </c>
      <c r="H457">
        <v>0</v>
      </c>
      <c r="I457">
        <v>0</v>
      </c>
      <c r="J457" t="s">
        <v>848</v>
      </c>
    </row>
    <row r="458" spans="1:10" x14ac:dyDescent="0.3">
      <c r="A458" t="s">
        <v>156</v>
      </c>
      <c r="B458" s="14" t="s">
        <v>995</v>
      </c>
      <c r="C458">
        <v>4400000</v>
      </c>
      <c r="D458">
        <v>1</v>
      </c>
      <c r="E458">
        <v>0</v>
      </c>
      <c r="F458">
        <v>0</v>
      </c>
      <c r="G458">
        <v>0</v>
      </c>
      <c r="H458">
        <v>0</v>
      </c>
      <c r="I458">
        <v>0</v>
      </c>
      <c r="J458" t="s">
        <v>843</v>
      </c>
    </row>
    <row r="459" spans="1:10" x14ac:dyDescent="0.3">
      <c r="A459" t="s">
        <v>156</v>
      </c>
      <c r="B459" s="14" t="s">
        <v>995</v>
      </c>
      <c r="C459">
        <v>4800000</v>
      </c>
      <c r="D459">
        <v>0</v>
      </c>
      <c r="E459">
        <v>0</v>
      </c>
      <c r="F459">
        <v>0</v>
      </c>
      <c r="G459">
        <v>0</v>
      </c>
      <c r="H459">
        <v>0</v>
      </c>
      <c r="I459">
        <v>0</v>
      </c>
      <c r="J459" t="s">
        <v>848</v>
      </c>
    </row>
    <row r="460" spans="1:10" x14ac:dyDescent="0.3">
      <c r="A460" t="s">
        <v>156</v>
      </c>
      <c r="B460" s="14" t="s">
        <v>996</v>
      </c>
      <c r="C460">
        <v>5200000</v>
      </c>
      <c r="D460">
        <v>2</v>
      </c>
      <c r="E460">
        <v>1</v>
      </c>
      <c r="F460">
        <v>2</v>
      </c>
      <c r="G460">
        <v>2</v>
      </c>
      <c r="H460">
        <v>0</v>
      </c>
      <c r="I460">
        <v>0</v>
      </c>
      <c r="J460" t="s">
        <v>843</v>
      </c>
    </row>
    <row r="461" spans="1:10" x14ac:dyDescent="0.3">
      <c r="A461" t="s">
        <v>156</v>
      </c>
      <c r="B461" s="14" t="s">
        <v>997</v>
      </c>
      <c r="C461">
        <v>3600000</v>
      </c>
      <c r="D461">
        <v>0</v>
      </c>
      <c r="E461">
        <v>0</v>
      </c>
      <c r="F461">
        <v>0</v>
      </c>
      <c r="G461">
        <v>0</v>
      </c>
      <c r="H461">
        <v>0</v>
      </c>
      <c r="I461">
        <v>0</v>
      </c>
      <c r="J461" t="s">
        <v>848</v>
      </c>
    </row>
    <row r="462" spans="1:10" x14ac:dyDescent="0.3">
      <c r="A462" t="s">
        <v>156</v>
      </c>
      <c r="B462" s="14" t="s">
        <v>997</v>
      </c>
      <c r="C462">
        <v>5000000</v>
      </c>
      <c r="D462">
        <v>0</v>
      </c>
      <c r="E462">
        <v>0</v>
      </c>
      <c r="F462">
        <v>0</v>
      </c>
      <c r="G462">
        <v>0</v>
      </c>
      <c r="H462">
        <v>0</v>
      </c>
      <c r="I462">
        <v>0</v>
      </c>
      <c r="J462" t="s">
        <v>848</v>
      </c>
    </row>
    <row r="463" spans="1:10" x14ac:dyDescent="0.3">
      <c r="A463" t="s">
        <v>156</v>
      </c>
      <c r="B463" s="14" t="s">
        <v>997</v>
      </c>
      <c r="C463">
        <v>4200000</v>
      </c>
      <c r="D463">
        <v>0</v>
      </c>
      <c r="E463">
        <v>0</v>
      </c>
      <c r="F463">
        <v>0</v>
      </c>
      <c r="G463">
        <v>0</v>
      </c>
      <c r="H463">
        <v>0</v>
      </c>
      <c r="I463">
        <v>0</v>
      </c>
      <c r="J463" t="s">
        <v>848</v>
      </c>
    </row>
    <row r="464" spans="1:10" x14ac:dyDescent="0.3">
      <c r="A464" t="s">
        <v>156</v>
      </c>
      <c r="B464" s="14" t="s">
        <v>998</v>
      </c>
      <c r="C464">
        <v>4600000</v>
      </c>
      <c r="D464">
        <v>0</v>
      </c>
      <c r="E464">
        <v>0</v>
      </c>
      <c r="F464">
        <v>0</v>
      </c>
      <c r="G464">
        <v>0</v>
      </c>
      <c r="H464">
        <v>0</v>
      </c>
      <c r="I464">
        <v>0</v>
      </c>
      <c r="J464" t="s">
        <v>848</v>
      </c>
    </row>
    <row r="465" spans="1:10" x14ac:dyDescent="0.3">
      <c r="A465" t="s">
        <v>156</v>
      </c>
      <c r="B465" s="14" t="s">
        <v>999</v>
      </c>
      <c r="C465">
        <v>4800000</v>
      </c>
      <c r="D465">
        <v>1</v>
      </c>
      <c r="E465">
        <v>0</v>
      </c>
      <c r="F465">
        <v>0</v>
      </c>
      <c r="G465">
        <v>0</v>
      </c>
      <c r="H465">
        <v>0</v>
      </c>
      <c r="I465">
        <v>0</v>
      </c>
      <c r="J465" t="s">
        <v>843</v>
      </c>
    </row>
    <row r="466" spans="1:10" x14ac:dyDescent="0.3">
      <c r="A466" t="s">
        <v>156</v>
      </c>
      <c r="B466" s="14" t="s">
        <v>1000</v>
      </c>
      <c r="C466">
        <v>5000000</v>
      </c>
      <c r="D466">
        <v>1</v>
      </c>
      <c r="E466">
        <v>0</v>
      </c>
      <c r="F466">
        <v>0</v>
      </c>
      <c r="G466">
        <v>0</v>
      </c>
      <c r="H466">
        <v>0</v>
      </c>
      <c r="I466">
        <v>0</v>
      </c>
      <c r="J466" t="s">
        <v>843</v>
      </c>
    </row>
    <row r="467" spans="1:10" x14ac:dyDescent="0.3">
      <c r="A467" t="s">
        <v>156</v>
      </c>
      <c r="B467" s="14" t="s">
        <v>1001</v>
      </c>
      <c r="C467">
        <v>6600000</v>
      </c>
      <c r="D467">
        <v>1</v>
      </c>
      <c r="E467">
        <v>0</v>
      </c>
      <c r="F467">
        <v>0</v>
      </c>
      <c r="G467">
        <v>0</v>
      </c>
      <c r="H467">
        <v>0</v>
      </c>
      <c r="I467">
        <v>0</v>
      </c>
      <c r="J467" t="s">
        <v>843</v>
      </c>
    </row>
    <row r="468" spans="1:10" x14ac:dyDescent="0.3">
      <c r="A468" t="s">
        <v>156</v>
      </c>
      <c r="B468" s="14" t="s">
        <v>1001</v>
      </c>
      <c r="C468">
        <v>7000000</v>
      </c>
      <c r="D468">
        <v>0</v>
      </c>
      <c r="E468">
        <v>0</v>
      </c>
      <c r="F468">
        <v>0</v>
      </c>
      <c r="G468">
        <v>0</v>
      </c>
      <c r="H468">
        <v>0</v>
      </c>
      <c r="I468">
        <v>0</v>
      </c>
      <c r="J468" t="s">
        <v>848</v>
      </c>
    </row>
    <row r="469" spans="1:10" x14ac:dyDescent="0.3">
      <c r="A469" t="s">
        <v>156</v>
      </c>
      <c r="B469" s="14" t="s">
        <v>1002</v>
      </c>
      <c r="C469">
        <v>6100000</v>
      </c>
      <c r="D469">
        <v>1</v>
      </c>
      <c r="E469">
        <v>0</v>
      </c>
      <c r="F469">
        <v>0</v>
      </c>
      <c r="G469">
        <v>0</v>
      </c>
      <c r="H469">
        <v>0</v>
      </c>
      <c r="I469">
        <v>0</v>
      </c>
      <c r="J469" t="s">
        <v>843</v>
      </c>
    </row>
    <row r="470" spans="1:10" x14ac:dyDescent="0.3">
      <c r="A470" t="s">
        <v>156</v>
      </c>
      <c r="B470" s="14" t="s">
        <v>1003</v>
      </c>
      <c r="C470">
        <v>6500000</v>
      </c>
      <c r="D470">
        <v>2</v>
      </c>
      <c r="E470">
        <v>0</v>
      </c>
      <c r="F470">
        <v>0</v>
      </c>
      <c r="G470">
        <v>-1</v>
      </c>
      <c r="H470">
        <v>0</v>
      </c>
      <c r="I470">
        <v>0</v>
      </c>
      <c r="J470" t="s">
        <v>843</v>
      </c>
    </row>
    <row r="471" spans="1:10" x14ac:dyDescent="0.3">
      <c r="A471" t="s">
        <v>156</v>
      </c>
      <c r="B471" s="14" t="s">
        <v>1003</v>
      </c>
      <c r="C471">
        <v>5700000</v>
      </c>
      <c r="D471">
        <v>0</v>
      </c>
      <c r="E471">
        <v>0</v>
      </c>
      <c r="F471">
        <v>0</v>
      </c>
      <c r="G471">
        <v>0</v>
      </c>
      <c r="H471">
        <v>0</v>
      </c>
      <c r="I471">
        <v>0</v>
      </c>
      <c r="J471" t="s">
        <v>848</v>
      </c>
    </row>
    <row r="472" spans="1:10" x14ac:dyDescent="0.3">
      <c r="A472" t="s">
        <v>156</v>
      </c>
      <c r="B472" s="14" t="s">
        <v>1003</v>
      </c>
      <c r="C472">
        <v>6100000</v>
      </c>
      <c r="D472">
        <v>4</v>
      </c>
      <c r="E472">
        <v>0</v>
      </c>
      <c r="F472">
        <v>0</v>
      </c>
      <c r="G472">
        <v>0</v>
      </c>
      <c r="H472">
        <v>0</v>
      </c>
      <c r="I472">
        <v>0</v>
      </c>
      <c r="J472" t="s">
        <v>843</v>
      </c>
    </row>
    <row r="473" spans="1:10" x14ac:dyDescent="0.3">
      <c r="A473" t="s">
        <v>156</v>
      </c>
      <c r="B473" s="14" t="s">
        <v>1004</v>
      </c>
      <c r="C473">
        <v>6100000</v>
      </c>
      <c r="D473">
        <v>3</v>
      </c>
      <c r="E473">
        <v>0</v>
      </c>
      <c r="F473">
        <v>0</v>
      </c>
      <c r="G473">
        <v>0</v>
      </c>
      <c r="H473">
        <v>0</v>
      </c>
      <c r="I473">
        <v>0</v>
      </c>
      <c r="J473" t="s">
        <v>843</v>
      </c>
    </row>
    <row r="474" spans="1:10" x14ac:dyDescent="0.3">
      <c r="A474" t="s">
        <v>156</v>
      </c>
      <c r="B474" s="14" t="s">
        <v>1004</v>
      </c>
      <c r="C474">
        <v>6500000</v>
      </c>
      <c r="D474">
        <v>1</v>
      </c>
      <c r="E474">
        <v>0</v>
      </c>
      <c r="F474">
        <v>0</v>
      </c>
      <c r="G474">
        <v>0</v>
      </c>
      <c r="H474">
        <v>0</v>
      </c>
      <c r="I474">
        <v>0</v>
      </c>
      <c r="J474" t="s">
        <v>843</v>
      </c>
    </row>
    <row r="475" spans="1:10" x14ac:dyDescent="0.3">
      <c r="A475" t="s">
        <v>156</v>
      </c>
      <c r="B475" s="14" t="s">
        <v>1005</v>
      </c>
      <c r="C475">
        <v>6600000</v>
      </c>
      <c r="D475">
        <v>1</v>
      </c>
      <c r="E475">
        <v>0</v>
      </c>
      <c r="F475">
        <v>0</v>
      </c>
      <c r="G475">
        <v>0</v>
      </c>
      <c r="H475">
        <v>0</v>
      </c>
      <c r="I475">
        <v>0</v>
      </c>
      <c r="J475" t="s">
        <v>843</v>
      </c>
    </row>
    <row r="476" spans="1:10" x14ac:dyDescent="0.3">
      <c r="A476" t="s">
        <v>156</v>
      </c>
      <c r="B476" s="14" t="s">
        <v>1006</v>
      </c>
      <c r="C476">
        <v>7000000</v>
      </c>
      <c r="D476">
        <v>3</v>
      </c>
      <c r="E476">
        <v>0</v>
      </c>
      <c r="F476">
        <v>0</v>
      </c>
      <c r="G476">
        <v>0</v>
      </c>
      <c r="H476">
        <v>0</v>
      </c>
      <c r="I476">
        <v>0</v>
      </c>
      <c r="J476" t="s">
        <v>843</v>
      </c>
    </row>
    <row r="477" spans="1:10" x14ac:dyDescent="0.3">
      <c r="A477" t="s">
        <v>156</v>
      </c>
      <c r="B477" s="14" t="s">
        <v>1007</v>
      </c>
      <c r="C477">
        <v>7000000</v>
      </c>
      <c r="D477">
        <v>1</v>
      </c>
      <c r="E477">
        <v>0</v>
      </c>
      <c r="F477">
        <v>0</v>
      </c>
      <c r="G477">
        <v>0</v>
      </c>
      <c r="H477">
        <v>0</v>
      </c>
      <c r="I477">
        <v>0</v>
      </c>
      <c r="J477" t="s">
        <v>843</v>
      </c>
    </row>
    <row r="478" spans="1:10" x14ac:dyDescent="0.3">
      <c r="A478" t="s">
        <v>156</v>
      </c>
      <c r="B478" s="14" t="s">
        <v>1008</v>
      </c>
      <c r="C478">
        <v>7800000</v>
      </c>
      <c r="D478">
        <v>0</v>
      </c>
      <c r="E478">
        <v>0</v>
      </c>
      <c r="F478">
        <v>0</v>
      </c>
      <c r="G478">
        <v>0</v>
      </c>
      <c r="H478">
        <v>0</v>
      </c>
      <c r="I478">
        <v>0</v>
      </c>
      <c r="J478" t="s">
        <v>848</v>
      </c>
    </row>
    <row r="479" spans="1:10" x14ac:dyDescent="0.3">
      <c r="A479" t="s">
        <v>156</v>
      </c>
      <c r="B479" s="14" t="s">
        <v>1009</v>
      </c>
      <c r="C479">
        <v>7800000</v>
      </c>
      <c r="D479">
        <v>0</v>
      </c>
      <c r="E479">
        <v>0</v>
      </c>
      <c r="F479">
        <v>0</v>
      </c>
      <c r="G479">
        <v>0</v>
      </c>
      <c r="H479">
        <v>0</v>
      </c>
      <c r="I479">
        <v>0</v>
      </c>
      <c r="J479" t="s">
        <v>848</v>
      </c>
    </row>
    <row r="480" spans="1:10" x14ac:dyDescent="0.3">
      <c r="A480" t="s">
        <v>156</v>
      </c>
      <c r="B480" s="14" t="s">
        <v>1010</v>
      </c>
      <c r="C480">
        <v>7000000</v>
      </c>
      <c r="D480">
        <v>0</v>
      </c>
      <c r="E480">
        <v>0</v>
      </c>
      <c r="F480">
        <v>0</v>
      </c>
      <c r="G480">
        <v>1</v>
      </c>
      <c r="H480">
        <v>0</v>
      </c>
      <c r="I480">
        <v>0</v>
      </c>
      <c r="J480" t="s">
        <v>848</v>
      </c>
    </row>
    <row r="481" spans="1:10" x14ac:dyDescent="0.3">
      <c r="A481" t="s">
        <v>156</v>
      </c>
      <c r="B481" s="14" t="s">
        <v>1010</v>
      </c>
      <c r="C481">
        <v>6500000</v>
      </c>
      <c r="D481">
        <v>1</v>
      </c>
      <c r="E481">
        <v>0</v>
      </c>
      <c r="F481">
        <v>0</v>
      </c>
      <c r="G481">
        <v>1</v>
      </c>
      <c r="H481">
        <v>0</v>
      </c>
      <c r="I481">
        <v>0</v>
      </c>
      <c r="J481" t="s">
        <v>843</v>
      </c>
    </row>
    <row r="482" spans="1:10" x14ac:dyDescent="0.3">
      <c r="A482" t="s">
        <v>156</v>
      </c>
      <c r="B482" s="14" t="s">
        <v>1010</v>
      </c>
      <c r="C482">
        <v>6000000</v>
      </c>
      <c r="D482">
        <v>1</v>
      </c>
      <c r="E482">
        <v>0</v>
      </c>
      <c r="F482">
        <v>0</v>
      </c>
      <c r="G482">
        <v>0</v>
      </c>
      <c r="H482">
        <v>0</v>
      </c>
      <c r="I482">
        <v>0</v>
      </c>
      <c r="J482" t="s">
        <v>843</v>
      </c>
    </row>
    <row r="483" spans="1:10" x14ac:dyDescent="0.3">
      <c r="A483" t="s">
        <v>156</v>
      </c>
      <c r="B483" s="14" t="s">
        <v>1011</v>
      </c>
      <c r="D483">
        <v>1</v>
      </c>
      <c r="E483">
        <v>0</v>
      </c>
      <c r="F483">
        <v>0</v>
      </c>
      <c r="G483">
        <v>0</v>
      </c>
      <c r="H483">
        <v>0</v>
      </c>
      <c r="I483">
        <v>0</v>
      </c>
      <c r="J483" t="s">
        <v>843</v>
      </c>
    </row>
    <row r="484" spans="1:10" x14ac:dyDescent="0.3">
      <c r="A484" t="s">
        <v>156</v>
      </c>
      <c r="B484" s="14" t="s">
        <v>1012</v>
      </c>
      <c r="C484">
        <v>6200000</v>
      </c>
      <c r="D484">
        <v>0</v>
      </c>
      <c r="E484">
        <v>0</v>
      </c>
      <c r="F484">
        <v>1</v>
      </c>
      <c r="G484">
        <v>1</v>
      </c>
      <c r="H484">
        <v>0</v>
      </c>
      <c r="I484">
        <v>0</v>
      </c>
      <c r="J484" t="s">
        <v>848</v>
      </c>
    </row>
    <row r="485" spans="1:10" x14ac:dyDescent="0.3">
      <c r="A485" t="s">
        <v>156</v>
      </c>
      <c r="B485" s="14" t="s">
        <v>1013</v>
      </c>
      <c r="C485">
        <v>11000000</v>
      </c>
      <c r="D485">
        <v>1</v>
      </c>
      <c r="E485">
        <v>0</v>
      </c>
      <c r="F485">
        <v>0</v>
      </c>
      <c r="G485">
        <v>0</v>
      </c>
      <c r="H485">
        <v>0</v>
      </c>
      <c r="I485">
        <v>0</v>
      </c>
      <c r="J485" t="s">
        <v>843</v>
      </c>
    </row>
    <row r="486" spans="1:10" x14ac:dyDescent="0.3">
      <c r="A486" t="s">
        <v>156</v>
      </c>
      <c r="B486" s="14" t="s">
        <v>1014</v>
      </c>
      <c r="C486">
        <v>11300000</v>
      </c>
      <c r="D486">
        <v>3</v>
      </c>
      <c r="E486">
        <v>0</v>
      </c>
      <c r="F486">
        <v>0</v>
      </c>
      <c r="G486">
        <v>0</v>
      </c>
      <c r="H486">
        <v>0</v>
      </c>
      <c r="I486">
        <v>0</v>
      </c>
      <c r="J486" t="s">
        <v>843</v>
      </c>
    </row>
    <row r="487" spans="1:10" x14ac:dyDescent="0.3">
      <c r="A487" t="s">
        <v>156</v>
      </c>
      <c r="B487" s="14" t="s">
        <v>1015</v>
      </c>
      <c r="C487">
        <v>15000000</v>
      </c>
      <c r="D487">
        <v>0</v>
      </c>
      <c r="E487">
        <v>0</v>
      </c>
      <c r="F487">
        <v>0</v>
      </c>
      <c r="G487">
        <v>1</v>
      </c>
      <c r="H487">
        <v>0</v>
      </c>
      <c r="I487">
        <v>0</v>
      </c>
      <c r="J487" t="s">
        <v>848</v>
      </c>
    </row>
    <row r="488" spans="1:10" x14ac:dyDescent="0.3">
      <c r="A488" t="s">
        <v>156</v>
      </c>
      <c r="B488" s="14" t="s">
        <v>1016</v>
      </c>
      <c r="C488">
        <v>8000000</v>
      </c>
      <c r="D488">
        <v>1</v>
      </c>
      <c r="E488">
        <v>0</v>
      </c>
      <c r="F488">
        <v>0</v>
      </c>
      <c r="G488">
        <v>1</v>
      </c>
      <c r="H488">
        <v>0</v>
      </c>
      <c r="I488">
        <v>0</v>
      </c>
      <c r="J488" t="s">
        <v>843</v>
      </c>
    </row>
    <row r="489" spans="1:10" x14ac:dyDescent="0.3">
      <c r="A489" t="s">
        <v>156</v>
      </c>
      <c r="B489" s="14" t="s">
        <v>1016</v>
      </c>
      <c r="C489">
        <v>9200000</v>
      </c>
      <c r="D489">
        <v>9</v>
      </c>
      <c r="E489">
        <v>0</v>
      </c>
      <c r="F489">
        <v>0</v>
      </c>
      <c r="G489">
        <v>0</v>
      </c>
      <c r="H489">
        <v>0</v>
      </c>
      <c r="I489">
        <v>8</v>
      </c>
      <c r="J489" t="s">
        <v>843</v>
      </c>
    </row>
    <row r="490" spans="1:10" x14ac:dyDescent="0.3">
      <c r="A490" t="s">
        <v>156</v>
      </c>
      <c r="B490" s="14" t="s">
        <v>1016</v>
      </c>
      <c r="C490">
        <v>7600000</v>
      </c>
      <c r="D490">
        <v>1</v>
      </c>
      <c r="E490">
        <v>0</v>
      </c>
      <c r="F490">
        <v>0</v>
      </c>
      <c r="G490">
        <v>0</v>
      </c>
      <c r="H490">
        <v>0</v>
      </c>
      <c r="I490">
        <v>0</v>
      </c>
      <c r="J490" t="s">
        <v>843</v>
      </c>
    </row>
    <row r="491" spans="1:10" x14ac:dyDescent="0.3">
      <c r="A491" t="s">
        <v>156</v>
      </c>
      <c r="B491" s="14" t="s">
        <v>1017</v>
      </c>
      <c r="C491">
        <v>9000000</v>
      </c>
      <c r="D491">
        <v>2</v>
      </c>
      <c r="E491">
        <v>0</v>
      </c>
      <c r="F491">
        <v>0</v>
      </c>
      <c r="G491">
        <v>0</v>
      </c>
      <c r="H491">
        <v>0</v>
      </c>
      <c r="I491">
        <v>0</v>
      </c>
      <c r="J491" t="s">
        <v>843</v>
      </c>
    </row>
    <row r="492" spans="1:10" x14ac:dyDescent="0.3">
      <c r="A492" t="s">
        <v>156</v>
      </c>
      <c r="B492" s="14" t="s">
        <v>1018</v>
      </c>
      <c r="C492">
        <v>8500000</v>
      </c>
      <c r="D492">
        <v>2</v>
      </c>
      <c r="E492">
        <v>0</v>
      </c>
      <c r="F492">
        <v>0</v>
      </c>
      <c r="G492">
        <v>0</v>
      </c>
      <c r="H492">
        <v>0</v>
      </c>
      <c r="I492">
        <v>0</v>
      </c>
      <c r="J492" t="s">
        <v>843</v>
      </c>
    </row>
    <row r="493" spans="1:10" x14ac:dyDescent="0.3">
      <c r="A493" t="s">
        <v>156</v>
      </c>
      <c r="B493" s="14" t="s">
        <v>1019</v>
      </c>
      <c r="C493">
        <v>8000000</v>
      </c>
      <c r="D493">
        <v>1</v>
      </c>
      <c r="E493">
        <v>0</v>
      </c>
      <c r="F493">
        <v>0</v>
      </c>
      <c r="G493">
        <v>0</v>
      </c>
      <c r="H493">
        <v>0</v>
      </c>
      <c r="I493">
        <v>0</v>
      </c>
      <c r="J493" t="s">
        <v>843</v>
      </c>
    </row>
    <row r="494" spans="1:10" x14ac:dyDescent="0.3">
      <c r="A494" t="s">
        <v>156</v>
      </c>
      <c r="B494" s="14" t="s">
        <v>1020</v>
      </c>
      <c r="C494">
        <v>8500000</v>
      </c>
      <c r="D494">
        <v>5</v>
      </c>
      <c r="E494">
        <v>0</v>
      </c>
      <c r="F494">
        <v>0</v>
      </c>
      <c r="G494">
        <v>0</v>
      </c>
      <c r="H494">
        <v>0</v>
      </c>
      <c r="I494">
        <v>0</v>
      </c>
      <c r="J494" t="s">
        <v>843</v>
      </c>
    </row>
    <row r="495" spans="1:10" x14ac:dyDescent="0.3">
      <c r="A495" t="s">
        <v>156</v>
      </c>
      <c r="B495" s="14" t="s">
        <v>1021</v>
      </c>
      <c r="C495">
        <v>12000000</v>
      </c>
      <c r="D495">
        <v>1</v>
      </c>
      <c r="E495">
        <v>0</v>
      </c>
      <c r="F495">
        <v>0</v>
      </c>
      <c r="G495">
        <v>0</v>
      </c>
      <c r="H495">
        <v>0</v>
      </c>
      <c r="I495">
        <v>0</v>
      </c>
      <c r="J495" t="s">
        <v>843</v>
      </c>
    </row>
    <row r="496" spans="1:10" x14ac:dyDescent="0.3">
      <c r="A496" t="s">
        <v>156</v>
      </c>
      <c r="B496" s="14" t="s">
        <v>1022</v>
      </c>
      <c r="C496">
        <v>12500000</v>
      </c>
      <c r="D496">
        <v>3</v>
      </c>
      <c r="E496">
        <v>0</v>
      </c>
      <c r="F496">
        <v>0</v>
      </c>
      <c r="G496">
        <v>0</v>
      </c>
      <c r="H496">
        <v>0</v>
      </c>
      <c r="I496">
        <v>0</v>
      </c>
      <c r="J496" t="s">
        <v>843</v>
      </c>
    </row>
    <row r="497" spans="1:10" x14ac:dyDescent="0.3">
      <c r="A497" t="s">
        <v>156</v>
      </c>
      <c r="B497" s="14" t="s">
        <v>1023</v>
      </c>
      <c r="C497">
        <v>16000000</v>
      </c>
      <c r="D497">
        <v>0</v>
      </c>
      <c r="E497">
        <v>0</v>
      </c>
      <c r="F497">
        <v>0</v>
      </c>
      <c r="G497">
        <v>1</v>
      </c>
      <c r="H497">
        <v>0</v>
      </c>
      <c r="I497">
        <v>0</v>
      </c>
      <c r="J497" t="s">
        <v>848</v>
      </c>
    </row>
    <row r="498" spans="1:10" x14ac:dyDescent="0.3">
      <c r="A498" t="s">
        <v>156</v>
      </c>
      <c r="B498" s="14" t="s">
        <v>1024</v>
      </c>
      <c r="C498">
        <v>9500000</v>
      </c>
      <c r="D498">
        <v>1</v>
      </c>
      <c r="E498">
        <v>0</v>
      </c>
      <c r="F498">
        <v>0</v>
      </c>
      <c r="G498">
        <v>0</v>
      </c>
      <c r="H498">
        <v>0</v>
      </c>
      <c r="I498">
        <v>0</v>
      </c>
      <c r="J498" t="s">
        <v>843</v>
      </c>
    </row>
    <row r="499" spans="1:10" x14ac:dyDescent="0.3">
      <c r="A499" t="s">
        <v>156</v>
      </c>
      <c r="B499" s="14" t="s">
        <v>1025</v>
      </c>
      <c r="C499">
        <v>10500000</v>
      </c>
      <c r="D499">
        <v>4</v>
      </c>
      <c r="E499">
        <v>0</v>
      </c>
      <c r="F499">
        <v>0</v>
      </c>
      <c r="G499">
        <v>1</v>
      </c>
      <c r="H499">
        <v>0</v>
      </c>
      <c r="I499">
        <v>0</v>
      </c>
      <c r="J499" t="s">
        <v>843</v>
      </c>
    </row>
    <row r="500" spans="1:10" x14ac:dyDescent="0.3">
      <c r="A500" t="s">
        <v>156</v>
      </c>
      <c r="B500" s="14" t="s">
        <v>1025</v>
      </c>
      <c r="C500">
        <v>8600000</v>
      </c>
      <c r="D500">
        <v>1</v>
      </c>
      <c r="E500">
        <v>0</v>
      </c>
      <c r="F500">
        <v>1</v>
      </c>
      <c r="G500">
        <v>1</v>
      </c>
      <c r="H500">
        <v>0</v>
      </c>
      <c r="I500">
        <v>0</v>
      </c>
      <c r="J500" t="s">
        <v>843</v>
      </c>
    </row>
    <row r="501" spans="1:10" x14ac:dyDescent="0.3">
      <c r="A501" t="s">
        <v>156</v>
      </c>
      <c r="B501" s="14" t="s">
        <v>1026</v>
      </c>
      <c r="C501">
        <v>9100000</v>
      </c>
      <c r="D501">
        <v>1</v>
      </c>
      <c r="E501">
        <v>0</v>
      </c>
      <c r="F501">
        <v>1</v>
      </c>
      <c r="G501">
        <v>1</v>
      </c>
      <c r="H501">
        <v>0</v>
      </c>
      <c r="I501">
        <v>0</v>
      </c>
      <c r="J501" t="s">
        <v>843</v>
      </c>
    </row>
    <row r="502" spans="1:10" x14ac:dyDescent="0.3">
      <c r="A502" t="s">
        <v>156</v>
      </c>
      <c r="B502" s="14" t="s">
        <v>1027</v>
      </c>
      <c r="C502">
        <v>11300000</v>
      </c>
      <c r="D502">
        <v>1</v>
      </c>
      <c r="E502">
        <v>0</v>
      </c>
      <c r="F502">
        <v>0</v>
      </c>
      <c r="G502">
        <v>1</v>
      </c>
      <c r="H502">
        <v>0</v>
      </c>
      <c r="I502">
        <v>0</v>
      </c>
      <c r="J502" t="s">
        <v>843</v>
      </c>
    </row>
    <row r="503" spans="1:10" x14ac:dyDescent="0.3">
      <c r="A503" t="s">
        <v>156</v>
      </c>
      <c r="B503" s="14" t="s">
        <v>450</v>
      </c>
      <c r="C503">
        <v>7800000</v>
      </c>
      <c r="D503">
        <v>0</v>
      </c>
      <c r="E503">
        <v>0</v>
      </c>
      <c r="F503">
        <v>0</v>
      </c>
      <c r="G503">
        <v>0</v>
      </c>
      <c r="H503">
        <v>0</v>
      </c>
      <c r="I503">
        <v>0</v>
      </c>
      <c r="J503" t="s">
        <v>848</v>
      </c>
    </row>
    <row r="504" spans="1:10" x14ac:dyDescent="0.3">
      <c r="A504" t="s">
        <v>156</v>
      </c>
      <c r="B504" s="14" t="s">
        <v>451</v>
      </c>
      <c r="C504">
        <v>7000000</v>
      </c>
      <c r="D504">
        <v>0</v>
      </c>
      <c r="E504">
        <v>0</v>
      </c>
      <c r="F504">
        <v>0</v>
      </c>
      <c r="G504">
        <v>0</v>
      </c>
      <c r="H504">
        <v>0</v>
      </c>
      <c r="I504">
        <v>0</v>
      </c>
      <c r="J504" t="s">
        <v>848</v>
      </c>
    </row>
    <row r="505" spans="1:10" x14ac:dyDescent="0.3">
      <c r="A505" t="s">
        <v>156</v>
      </c>
      <c r="B505" s="14" t="s">
        <v>452</v>
      </c>
      <c r="C505">
        <v>11300000</v>
      </c>
      <c r="D505">
        <v>3</v>
      </c>
      <c r="E505">
        <v>0</v>
      </c>
      <c r="F505">
        <v>0</v>
      </c>
      <c r="G505">
        <v>0</v>
      </c>
      <c r="H505">
        <v>0</v>
      </c>
      <c r="I505">
        <v>0</v>
      </c>
      <c r="J505" t="s">
        <v>843</v>
      </c>
    </row>
    <row r="506" spans="1:10" x14ac:dyDescent="0.3">
      <c r="A506" t="s">
        <v>156</v>
      </c>
      <c r="B506" s="14" t="s">
        <v>453</v>
      </c>
      <c r="D506">
        <v>1</v>
      </c>
      <c r="E506">
        <v>0</v>
      </c>
      <c r="F506">
        <v>0</v>
      </c>
      <c r="G506">
        <v>0</v>
      </c>
      <c r="H506">
        <v>0</v>
      </c>
      <c r="I506">
        <v>0</v>
      </c>
      <c r="J506" t="s">
        <v>843</v>
      </c>
    </row>
    <row r="507" spans="1:10" x14ac:dyDescent="0.3">
      <c r="A507" t="s">
        <v>156</v>
      </c>
      <c r="B507" s="14" t="s">
        <v>454</v>
      </c>
      <c r="C507">
        <v>14000000</v>
      </c>
      <c r="D507">
        <v>1</v>
      </c>
      <c r="E507">
        <v>0</v>
      </c>
      <c r="F507">
        <v>0</v>
      </c>
      <c r="G507">
        <v>0</v>
      </c>
      <c r="H507">
        <v>0</v>
      </c>
      <c r="I507">
        <v>0</v>
      </c>
      <c r="J507" t="s">
        <v>843</v>
      </c>
    </row>
    <row r="508" spans="1:10" x14ac:dyDescent="0.3">
      <c r="A508" t="s">
        <v>156</v>
      </c>
      <c r="B508" s="14" t="s">
        <v>455</v>
      </c>
      <c r="C508">
        <v>15000000</v>
      </c>
      <c r="D508">
        <v>1</v>
      </c>
      <c r="E508">
        <v>0</v>
      </c>
      <c r="F508">
        <v>0</v>
      </c>
      <c r="G508">
        <v>0</v>
      </c>
      <c r="H508">
        <v>0</v>
      </c>
      <c r="I508">
        <v>0</v>
      </c>
      <c r="J508" t="s">
        <v>843</v>
      </c>
    </row>
    <row r="509" spans="1:10" x14ac:dyDescent="0.3">
      <c r="A509" t="s">
        <v>156</v>
      </c>
      <c r="B509" s="14" t="s">
        <v>457</v>
      </c>
      <c r="C509">
        <v>9000000</v>
      </c>
      <c r="D509">
        <v>1</v>
      </c>
      <c r="E509">
        <v>0</v>
      </c>
      <c r="F509">
        <v>0</v>
      </c>
      <c r="G509">
        <v>0</v>
      </c>
      <c r="H509">
        <v>0</v>
      </c>
      <c r="I509">
        <v>0</v>
      </c>
      <c r="J509" t="s">
        <v>843</v>
      </c>
    </row>
    <row r="510" spans="1:10" x14ac:dyDescent="0.3">
      <c r="A510" t="s">
        <v>156</v>
      </c>
      <c r="B510" s="14" t="s">
        <v>456</v>
      </c>
      <c r="C510">
        <v>7000000</v>
      </c>
      <c r="D510">
        <v>1</v>
      </c>
      <c r="E510">
        <v>0</v>
      </c>
      <c r="F510">
        <v>0</v>
      </c>
      <c r="G510">
        <v>0</v>
      </c>
      <c r="H510">
        <v>0</v>
      </c>
      <c r="I510">
        <v>0</v>
      </c>
      <c r="J510" t="s">
        <v>843</v>
      </c>
    </row>
    <row r="511" spans="1:10" x14ac:dyDescent="0.3">
      <c r="A511" t="s">
        <v>156</v>
      </c>
      <c r="B511" s="14" t="s">
        <v>458</v>
      </c>
      <c r="C511">
        <v>16800000</v>
      </c>
      <c r="D511">
        <v>1</v>
      </c>
      <c r="E511">
        <v>0</v>
      </c>
      <c r="F511">
        <v>0</v>
      </c>
      <c r="G511">
        <v>0</v>
      </c>
      <c r="H511">
        <v>0</v>
      </c>
      <c r="I511">
        <v>0</v>
      </c>
      <c r="J511" t="s">
        <v>843</v>
      </c>
    </row>
    <row r="512" spans="1:10" x14ac:dyDescent="0.3">
      <c r="A512" t="s">
        <v>156</v>
      </c>
      <c r="B512" s="14" t="s">
        <v>459</v>
      </c>
      <c r="C512">
        <v>16800000</v>
      </c>
      <c r="D512">
        <v>1</v>
      </c>
      <c r="E512">
        <v>0</v>
      </c>
      <c r="F512">
        <v>0</v>
      </c>
      <c r="G512">
        <v>0</v>
      </c>
      <c r="H512">
        <v>0</v>
      </c>
      <c r="I512">
        <v>0</v>
      </c>
      <c r="J512" t="s">
        <v>843</v>
      </c>
    </row>
    <row r="513" spans="1:10" x14ac:dyDescent="0.3">
      <c r="A513" t="s">
        <v>156</v>
      </c>
      <c r="B513" s="14" t="s">
        <v>460</v>
      </c>
      <c r="C513">
        <v>16800000</v>
      </c>
      <c r="D513">
        <v>1</v>
      </c>
      <c r="E513">
        <v>0</v>
      </c>
      <c r="F513">
        <v>0</v>
      </c>
      <c r="G513">
        <v>0</v>
      </c>
      <c r="H513">
        <v>0</v>
      </c>
      <c r="I513">
        <v>0</v>
      </c>
      <c r="J513" t="s">
        <v>843</v>
      </c>
    </row>
    <row r="514" spans="1:10" x14ac:dyDescent="0.3">
      <c r="A514" t="s">
        <v>156</v>
      </c>
      <c r="B514" s="14" t="s">
        <v>461</v>
      </c>
      <c r="D514">
        <v>1</v>
      </c>
      <c r="E514">
        <v>0</v>
      </c>
      <c r="F514">
        <v>0</v>
      </c>
      <c r="G514">
        <v>0</v>
      </c>
      <c r="H514">
        <v>0</v>
      </c>
      <c r="I514">
        <v>0</v>
      </c>
      <c r="J514" t="s">
        <v>843</v>
      </c>
    </row>
    <row r="515" spans="1:10" x14ac:dyDescent="0.3">
      <c r="A515" t="s">
        <v>156</v>
      </c>
      <c r="B515" s="14" t="s">
        <v>462</v>
      </c>
      <c r="C515">
        <v>8100000</v>
      </c>
      <c r="D515">
        <v>3</v>
      </c>
      <c r="E515">
        <v>0</v>
      </c>
      <c r="F515">
        <v>0</v>
      </c>
      <c r="G515">
        <v>0</v>
      </c>
      <c r="H515">
        <v>0</v>
      </c>
      <c r="I515">
        <v>0</v>
      </c>
      <c r="J515" t="s">
        <v>843</v>
      </c>
    </row>
    <row r="516" spans="1:10" x14ac:dyDescent="0.3">
      <c r="A516" t="s">
        <v>201</v>
      </c>
      <c r="B516" s="14" t="s">
        <v>463</v>
      </c>
      <c r="C516">
        <v>1290000</v>
      </c>
      <c r="D516">
        <v>0</v>
      </c>
      <c r="E516">
        <v>0</v>
      </c>
      <c r="F516">
        <v>0</v>
      </c>
      <c r="G516">
        <v>0</v>
      </c>
      <c r="H516">
        <v>0</v>
      </c>
      <c r="I516">
        <v>0</v>
      </c>
      <c r="J516" t="s">
        <v>848</v>
      </c>
    </row>
    <row r="517" spans="1:10" x14ac:dyDescent="0.3">
      <c r="A517" t="s">
        <v>201</v>
      </c>
      <c r="B517" s="14" t="s">
        <v>1028</v>
      </c>
      <c r="C517">
        <v>11000000</v>
      </c>
      <c r="D517">
        <v>0</v>
      </c>
      <c r="E517">
        <v>0</v>
      </c>
      <c r="F517">
        <v>0</v>
      </c>
      <c r="G517">
        <v>0</v>
      </c>
      <c r="H517">
        <v>0</v>
      </c>
      <c r="I517">
        <v>0</v>
      </c>
      <c r="J517" t="s">
        <v>848</v>
      </c>
    </row>
    <row r="518" spans="1:10" x14ac:dyDescent="0.3">
      <c r="A518" t="s">
        <v>201</v>
      </c>
      <c r="B518" s="14" t="s">
        <v>1028</v>
      </c>
      <c r="C518">
        <v>9500000</v>
      </c>
      <c r="D518">
        <v>0</v>
      </c>
      <c r="E518">
        <v>0</v>
      </c>
      <c r="F518">
        <v>0</v>
      </c>
      <c r="G518">
        <v>0</v>
      </c>
      <c r="H518">
        <v>0</v>
      </c>
      <c r="I518">
        <v>0</v>
      </c>
      <c r="J518" t="s">
        <v>848</v>
      </c>
    </row>
    <row r="519" spans="1:10" x14ac:dyDescent="0.3">
      <c r="A519" t="s">
        <v>201</v>
      </c>
      <c r="B519" s="14" t="s">
        <v>1029</v>
      </c>
      <c r="C519">
        <v>14800000</v>
      </c>
      <c r="D519">
        <v>2</v>
      </c>
      <c r="E519">
        <v>0</v>
      </c>
      <c r="F519">
        <v>0</v>
      </c>
      <c r="G519">
        <v>1</v>
      </c>
      <c r="H519">
        <v>0</v>
      </c>
      <c r="I519">
        <v>0</v>
      </c>
      <c r="J519" t="s">
        <v>843</v>
      </c>
    </row>
    <row r="520" spans="1:10" x14ac:dyDescent="0.3">
      <c r="A520" t="s">
        <v>201</v>
      </c>
      <c r="B520" s="14" t="s">
        <v>675</v>
      </c>
      <c r="C520">
        <v>1999000</v>
      </c>
      <c r="D520">
        <v>0</v>
      </c>
      <c r="E520">
        <v>0</v>
      </c>
      <c r="F520">
        <v>0</v>
      </c>
      <c r="G520">
        <v>0</v>
      </c>
      <c r="H520">
        <v>0</v>
      </c>
      <c r="I520">
        <v>0</v>
      </c>
      <c r="J520" t="s">
        <v>848</v>
      </c>
    </row>
    <row r="521" spans="1:10" x14ac:dyDescent="0.3">
      <c r="A521" t="s">
        <v>201</v>
      </c>
      <c r="B521" s="14" t="s">
        <v>465</v>
      </c>
      <c r="C521">
        <v>790000</v>
      </c>
      <c r="D521">
        <v>0</v>
      </c>
      <c r="E521">
        <v>0</v>
      </c>
      <c r="F521">
        <v>0</v>
      </c>
      <c r="G521">
        <v>0</v>
      </c>
      <c r="H521">
        <v>0</v>
      </c>
      <c r="I521">
        <v>0</v>
      </c>
      <c r="J521" t="s">
        <v>848</v>
      </c>
    </row>
    <row r="522" spans="1:10" x14ac:dyDescent="0.3">
      <c r="A522" t="s">
        <v>201</v>
      </c>
      <c r="B522" s="14" t="s">
        <v>1030</v>
      </c>
      <c r="C522">
        <v>1290000</v>
      </c>
      <c r="D522">
        <v>1</v>
      </c>
      <c r="E522">
        <v>0</v>
      </c>
      <c r="F522">
        <v>0</v>
      </c>
      <c r="G522">
        <v>0</v>
      </c>
      <c r="H522">
        <v>0</v>
      </c>
      <c r="I522">
        <v>0</v>
      </c>
      <c r="J522" t="s">
        <v>843</v>
      </c>
    </row>
    <row r="523" spans="1:10" x14ac:dyDescent="0.3">
      <c r="A523" t="s">
        <v>201</v>
      </c>
      <c r="B523" s="14" t="s">
        <v>1031</v>
      </c>
      <c r="C523">
        <v>1800000</v>
      </c>
      <c r="D523">
        <v>1</v>
      </c>
      <c r="E523">
        <v>0</v>
      </c>
      <c r="F523">
        <v>0</v>
      </c>
      <c r="G523">
        <v>0</v>
      </c>
      <c r="H523">
        <v>0</v>
      </c>
      <c r="I523">
        <v>0</v>
      </c>
      <c r="J523" t="s">
        <v>843</v>
      </c>
    </row>
    <row r="524" spans="1:10" x14ac:dyDescent="0.3">
      <c r="A524" t="s">
        <v>201</v>
      </c>
      <c r="B524" s="14" t="s">
        <v>1032</v>
      </c>
      <c r="C524">
        <v>3200000</v>
      </c>
      <c r="D524">
        <v>0</v>
      </c>
      <c r="E524">
        <v>0</v>
      </c>
      <c r="F524">
        <v>0</v>
      </c>
      <c r="G524">
        <v>0</v>
      </c>
      <c r="H524">
        <v>0</v>
      </c>
      <c r="I524">
        <v>0</v>
      </c>
      <c r="J524" t="s">
        <v>848</v>
      </c>
    </row>
    <row r="525" spans="1:10" x14ac:dyDescent="0.3">
      <c r="A525" t="s">
        <v>201</v>
      </c>
      <c r="B525" s="14" t="s">
        <v>1033</v>
      </c>
      <c r="C525">
        <v>3190000</v>
      </c>
      <c r="D525">
        <v>3</v>
      </c>
      <c r="E525">
        <v>1</v>
      </c>
      <c r="F525">
        <v>1</v>
      </c>
      <c r="G525">
        <v>2</v>
      </c>
      <c r="H525">
        <v>0</v>
      </c>
      <c r="I525">
        <v>0</v>
      </c>
      <c r="J525" t="s">
        <v>843</v>
      </c>
    </row>
    <row r="526" spans="1:10" x14ac:dyDescent="0.3">
      <c r="A526" t="s">
        <v>201</v>
      </c>
      <c r="B526" s="14" t="s">
        <v>468</v>
      </c>
      <c r="C526">
        <v>1399000</v>
      </c>
      <c r="D526">
        <v>0</v>
      </c>
      <c r="E526">
        <v>0</v>
      </c>
      <c r="F526">
        <v>0</v>
      </c>
      <c r="G526">
        <v>0</v>
      </c>
      <c r="H526">
        <v>0</v>
      </c>
      <c r="I526">
        <v>0</v>
      </c>
      <c r="J526" t="s">
        <v>848</v>
      </c>
    </row>
    <row r="527" spans="1:10" x14ac:dyDescent="0.3">
      <c r="A527" t="s">
        <v>469</v>
      </c>
      <c r="B527" s="14" t="s">
        <v>1034</v>
      </c>
      <c r="C527">
        <v>2000000</v>
      </c>
      <c r="D527">
        <v>2</v>
      </c>
      <c r="E527">
        <v>0</v>
      </c>
      <c r="F527">
        <v>0</v>
      </c>
      <c r="G527">
        <v>0</v>
      </c>
      <c r="H527">
        <v>0</v>
      </c>
      <c r="I527">
        <v>0</v>
      </c>
      <c r="J527" t="s">
        <v>843</v>
      </c>
    </row>
    <row r="528" spans="1:10" x14ac:dyDescent="0.3">
      <c r="A528" t="s">
        <v>469</v>
      </c>
      <c r="B528" s="14" t="s">
        <v>471</v>
      </c>
      <c r="C528">
        <v>1800000</v>
      </c>
      <c r="D528">
        <v>4</v>
      </c>
      <c r="E528">
        <v>0</v>
      </c>
      <c r="F528">
        <v>0</v>
      </c>
      <c r="G528">
        <v>0</v>
      </c>
      <c r="H528">
        <v>0</v>
      </c>
      <c r="I528">
        <v>0</v>
      </c>
      <c r="J528" t="s">
        <v>843</v>
      </c>
    </row>
    <row r="529" spans="1:10" x14ac:dyDescent="0.3">
      <c r="A529" t="s">
        <v>469</v>
      </c>
      <c r="B529" s="14" t="s">
        <v>1035</v>
      </c>
      <c r="C529">
        <v>2400000</v>
      </c>
      <c r="D529">
        <v>1</v>
      </c>
      <c r="E529">
        <v>0</v>
      </c>
      <c r="F529">
        <v>0</v>
      </c>
      <c r="G529">
        <v>0</v>
      </c>
      <c r="H529">
        <v>0</v>
      </c>
      <c r="I529">
        <v>0</v>
      </c>
      <c r="J529" t="s">
        <v>843</v>
      </c>
    </row>
    <row r="530" spans="1:10" x14ac:dyDescent="0.3">
      <c r="A530" t="s">
        <v>469</v>
      </c>
      <c r="B530" s="14" t="s">
        <v>1035</v>
      </c>
      <c r="C530">
        <v>3000000</v>
      </c>
      <c r="D530">
        <v>1</v>
      </c>
      <c r="E530">
        <v>0</v>
      </c>
      <c r="F530">
        <v>0</v>
      </c>
      <c r="G530">
        <v>0</v>
      </c>
      <c r="H530">
        <v>0</v>
      </c>
      <c r="I530">
        <v>0</v>
      </c>
      <c r="J530" t="s">
        <v>843</v>
      </c>
    </row>
    <row r="531" spans="1:10" x14ac:dyDescent="0.3">
      <c r="A531" t="s">
        <v>143</v>
      </c>
      <c r="B531" s="14" t="s">
        <v>1036</v>
      </c>
      <c r="C531">
        <v>12090000</v>
      </c>
      <c r="D531">
        <v>1</v>
      </c>
      <c r="E531">
        <v>0</v>
      </c>
      <c r="F531">
        <v>0</v>
      </c>
      <c r="G531">
        <v>0</v>
      </c>
      <c r="H531">
        <v>0</v>
      </c>
      <c r="I531">
        <v>0</v>
      </c>
      <c r="J531" t="s">
        <v>843</v>
      </c>
    </row>
    <row r="532" spans="1:10" x14ac:dyDescent="0.3">
      <c r="A532" t="s">
        <v>143</v>
      </c>
      <c r="B532" s="14" t="s">
        <v>1037</v>
      </c>
      <c r="C532">
        <v>5190000</v>
      </c>
      <c r="D532">
        <v>2</v>
      </c>
      <c r="E532">
        <v>0</v>
      </c>
      <c r="F532">
        <v>2</v>
      </c>
      <c r="G532">
        <v>5</v>
      </c>
      <c r="H532">
        <v>0</v>
      </c>
      <c r="I532">
        <v>0</v>
      </c>
      <c r="J532" t="s">
        <v>843</v>
      </c>
    </row>
    <row r="533" spans="1:10" x14ac:dyDescent="0.3">
      <c r="A533" t="s">
        <v>143</v>
      </c>
      <c r="B533" s="14" t="s">
        <v>1038</v>
      </c>
      <c r="C533">
        <v>5000000</v>
      </c>
      <c r="D533">
        <v>0</v>
      </c>
      <c r="E533">
        <v>0</v>
      </c>
      <c r="F533">
        <v>0</v>
      </c>
      <c r="G533">
        <v>0</v>
      </c>
      <c r="H533">
        <v>0</v>
      </c>
      <c r="I533">
        <v>0</v>
      </c>
      <c r="J533" t="s">
        <v>848</v>
      </c>
    </row>
    <row r="534" spans="1:10" x14ac:dyDescent="0.3">
      <c r="A534" t="s">
        <v>143</v>
      </c>
      <c r="B534" s="14" t="s">
        <v>1039</v>
      </c>
      <c r="C534">
        <v>4600000</v>
      </c>
      <c r="D534">
        <v>0</v>
      </c>
      <c r="E534">
        <v>0</v>
      </c>
      <c r="F534">
        <v>0</v>
      </c>
      <c r="G534">
        <v>1</v>
      </c>
      <c r="H534">
        <v>0</v>
      </c>
      <c r="I534">
        <v>0</v>
      </c>
      <c r="J534" t="s">
        <v>848</v>
      </c>
    </row>
    <row r="535" spans="1:10" x14ac:dyDescent="0.3">
      <c r="A535" t="s">
        <v>143</v>
      </c>
      <c r="B535" s="14" t="s">
        <v>1040</v>
      </c>
      <c r="C535">
        <v>4000000</v>
      </c>
      <c r="D535">
        <v>0</v>
      </c>
      <c r="E535">
        <v>0</v>
      </c>
      <c r="F535">
        <v>0</v>
      </c>
      <c r="G535">
        <v>1</v>
      </c>
      <c r="H535">
        <v>0</v>
      </c>
      <c r="I535">
        <v>0</v>
      </c>
      <c r="J535" t="s">
        <v>848</v>
      </c>
    </row>
    <row r="536" spans="1:10" x14ac:dyDescent="0.3">
      <c r="A536" t="s">
        <v>143</v>
      </c>
      <c r="B536" s="14" t="s">
        <v>1041</v>
      </c>
      <c r="C536">
        <v>13500000</v>
      </c>
      <c r="D536">
        <v>1</v>
      </c>
      <c r="E536">
        <v>0</v>
      </c>
      <c r="F536">
        <v>0</v>
      </c>
      <c r="G536">
        <v>0</v>
      </c>
      <c r="H536">
        <v>0</v>
      </c>
      <c r="I536">
        <v>0</v>
      </c>
      <c r="J536" t="s">
        <v>843</v>
      </c>
    </row>
    <row r="537" spans="1:10" x14ac:dyDescent="0.3">
      <c r="A537" t="s">
        <v>143</v>
      </c>
      <c r="B537" s="14" t="s">
        <v>1042</v>
      </c>
      <c r="C537">
        <v>13490000</v>
      </c>
      <c r="D537">
        <v>1</v>
      </c>
      <c r="E537">
        <v>0</v>
      </c>
      <c r="F537">
        <v>0</v>
      </c>
      <c r="G537">
        <v>0</v>
      </c>
      <c r="H537">
        <v>0</v>
      </c>
      <c r="I537">
        <v>0</v>
      </c>
      <c r="J537" t="s">
        <v>843</v>
      </c>
    </row>
    <row r="538" spans="1:10" x14ac:dyDescent="0.3">
      <c r="A538" t="s">
        <v>143</v>
      </c>
      <c r="B538" s="14" t="s">
        <v>1043</v>
      </c>
      <c r="C538">
        <v>18990000</v>
      </c>
      <c r="D538">
        <v>3</v>
      </c>
      <c r="E538">
        <v>0</v>
      </c>
      <c r="F538">
        <v>0</v>
      </c>
      <c r="G538">
        <v>0</v>
      </c>
      <c r="H538">
        <v>0</v>
      </c>
      <c r="I538">
        <v>0</v>
      </c>
      <c r="J538" t="s">
        <v>843</v>
      </c>
    </row>
    <row r="539" spans="1:10" x14ac:dyDescent="0.3">
      <c r="A539" t="s">
        <v>143</v>
      </c>
      <c r="B539" s="14" t="s">
        <v>1044</v>
      </c>
      <c r="C539">
        <v>2490000</v>
      </c>
      <c r="D539">
        <v>11</v>
      </c>
      <c r="E539">
        <v>1</v>
      </c>
      <c r="F539">
        <v>1</v>
      </c>
      <c r="G539">
        <v>1</v>
      </c>
      <c r="H539">
        <v>0</v>
      </c>
      <c r="I539">
        <v>0</v>
      </c>
      <c r="J539" t="s">
        <v>843</v>
      </c>
    </row>
    <row r="540" spans="1:10" x14ac:dyDescent="0.3">
      <c r="A540" t="s">
        <v>143</v>
      </c>
      <c r="B540" s="14" t="s">
        <v>1045</v>
      </c>
      <c r="C540">
        <v>2000000</v>
      </c>
      <c r="D540">
        <v>1</v>
      </c>
      <c r="E540">
        <v>0</v>
      </c>
      <c r="F540">
        <v>0</v>
      </c>
      <c r="G540">
        <v>0</v>
      </c>
      <c r="H540">
        <v>0</v>
      </c>
      <c r="I540">
        <v>0</v>
      </c>
      <c r="J540" t="s">
        <v>843</v>
      </c>
    </row>
    <row r="541" spans="1:10" x14ac:dyDescent="0.3">
      <c r="A541" t="s">
        <v>143</v>
      </c>
      <c r="B541" s="14" t="s">
        <v>1046</v>
      </c>
      <c r="C541">
        <v>4590000</v>
      </c>
      <c r="D541">
        <v>2</v>
      </c>
      <c r="E541">
        <v>0</v>
      </c>
      <c r="F541">
        <v>0</v>
      </c>
      <c r="G541">
        <v>0</v>
      </c>
      <c r="H541">
        <v>0</v>
      </c>
      <c r="I541">
        <v>0</v>
      </c>
      <c r="J541" t="s">
        <v>843</v>
      </c>
    </row>
    <row r="542" spans="1:10" x14ac:dyDescent="0.3">
      <c r="A542" t="s">
        <v>10</v>
      </c>
      <c r="B542" s="14" t="s">
        <v>1047</v>
      </c>
      <c r="C542">
        <v>20500000</v>
      </c>
      <c r="D542">
        <v>5</v>
      </c>
      <c r="E542">
        <v>0</v>
      </c>
      <c r="F542">
        <v>0</v>
      </c>
      <c r="G542">
        <v>0</v>
      </c>
      <c r="H542">
        <v>0</v>
      </c>
      <c r="I542">
        <v>0</v>
      </c>
      <c r="J542" t="s">
        <v>843</v>
      </c>
    </row>
    <row r="543" spans="1:10" x14ac:dyDescent="0.3">
      <c r="A543" t="s">
        <v>10</v>
      </c>
      <c r="B543" s="14" t="s">
        <v>1048</v>
      </c>
      <c r="C543">
        <v>17100000</v>
      </c>
      <c r="D543">
        <v>30</v>
      </c>
      <c r="E543">
        <v>0</v>
      </c>
      <c r="F543">
        <v>1</v>
      </c>
      <c r="G543">
        <v>3</v>
      </c>
      <c r="H543">
        <v>0</v>
      </c>
      <c r="I543">
        <v>1</v>
      </c>
      <c r="J543" t="s">
        <v>843</v>
      </c>
    </row>
    <row r="544" spans="1:10" x14ac:dyDescent="0.3">
      <c r="A544" t="s">
        <v>10</v>
      </c>
      <c r="B544" s="14" t="s">
        <v>1049</v>
      </c>
      <c r="C544">
        <v>17000000</v>
      </c>
      <c r="D544">
        <v>43</v>
      </c>
      <c r="E544">
        <v>1</v>
      </c>
      <c r="F544">
        <v>6</v>
      </c>
      <c r="G544">
        <v>13</v>
      </c>
      <c r="H544">
        <v>0</v>
      </c>
      <c r="I544">
        <v>0</v>
      </c>
      <c r="J544" t="s">
        <v>843</v>
      </c>
    </row>
    <row r="545" spans="1:10" x14ac:dyDescent="0.3">
      <c r="A545" t="s">
        <v>10</v>
      </c>
      <c r="B545" s="14" t="s">
        <v>1050</v>
      </c>
      <c r="C545">
        <v>19000000</v>
      </c>
      <c r="D545">
        <v>3</v>
      </c>
      <c r="E545">
        <v>0</v>
      </c>
      <c r="F545">
        <v>0</v>
      </c>
      <c r="G545">
        <v>2</v>
      </c>
      <c r="H545">
        <v>0</v>
      </c>
      <c r="I545">
        <v>0</v>
      </c>
      <c r="J545" t="s">
        <v>843</v>
      </c>
    </row>
    <row r="546" spans="1:10" x14ac:dyDescent="0.3">
      <c r="A546" t="s">
        <v>10</v>
      </c>
      <c r="B546" s="14" t="s">
        <v>1051</v>
      </c>
      <c r="C546">
        <v>17000000</v>
      </c>
      <c r="D546">
        <v>59</v>
      </c>
      <c r="E546">
        <v>2</v>
      </c>
      <c r="F546">
        <v>9</v>
      </c>
      <c r="G546">
        <v>21</v>
      </c>
      <c r="H546">
        <v>0</v>
      </c>
      <c r="I546">
        <v>0</v>
      </c>
      <c r="J546" t="s">
        <v>843</v>
      </c>
    </row>
    <row r="547" spans="1:10" x14ac:dyDescent="0.3">
      <c r="A547" t="s">
        <v>10</v>
      </c>
      <c r="B547" s="14" t="s">
        <v>1051</v>
      </c>
      <c r="C547">
        <v>15900000</v>
      </c>
      <c r="D547">
        <v>1</v>
      </c>
      <c r="E547">
        <v>0</v>
      </c>
      <c r="F547">
        <v>0</v>
      </c>
      <c r="G547">
        <v>0</v>
      </c>
      <c r="H547">
        <v>0</v>
      </c>
      <c r="I547">
        <v>0</v>
      </c>
      <c r="J547" t="s">
        <v>843</v>
      </c>
    </row>
    <row r="548" spans="1:10" x14ac:dyDescent="0.3">
      <c r="A548" t="s">
        <v>10</v>
      </c>
      <c r="B548" s="14" t="s">
        <v>1052</v>
      </c>
      <c r="C548">
        <v>18000000</v>
      </c>
      <c r="D548">
        <v>0</v>
      </c>
      <c r="E548">
        <v>0</v>
      </c>
      <c r="F548">
        <v>1</v>
      </c>
      <c r="G548">
        <v>1</v>
      </c>
      <c r="H548">
        <v>0</v>
      </c>
      <c r="I548">
        <v>0</v>
      </c>
      <c r="J548" t="s">
        <v>848</v>
      </c>
    </row>
    <row r="549" spans="1:10" x14ac:dyDescent="0.3">
      <c r="A549" t="s">
        <v>10</v>
      </c>
      <c r="B549" s="14" t="s">
        <v>1053</v>
      </c>
      <c r="C549">
        <v>16000000</v>
      </c>
      <c r="D549">
        <v>0</v>
      </c>
      <c r="E549">
        <v>0</v>
      </c>
      <c r="F549">
        <v>0</v>
      </c>
      <c r="G549">
        <v>0</v>
      </c>
      <c r="H549">
        <v>0</v>
      </c>
      <c r="I549">
        <v>0</v>
      </c>
      <c r="J549" t="s">
        <v>848</v>
      </c>
    </row>
    <row r="550" spans="1:10" x14ac:dyDescent="0.3">
      <c r="A550" t="s">
        <v>10</v>
      </c>
      <c r="B550" s="14" t="s">
        <v>1053</v>
      </c>
      <c r="C550">
        <v>16500000</v>
      </c>
      <c r="D550">
        <v>12</v>
      </c>
      <c r="E550">
        <v>0</v>
      </c>
      <c r="F550">
        <v>3</v>
      </c>
      <c r="G550">
        <v>5</v>
      </c>
      <c r="H550">
        <v>0</v>
      </c>
      <c r="I550">
        <v>0</v>
      </c>
      <c r="J550" t="s">
        <v>843</v>
      </c>
    </row>
    <row r="551" spans="1:10" x14ac:dyDescent="0.3">
      <c r="A551" t="s">
        <v>10</v>
      </c>
      <c r="B551" s="14" t="s">
        <v>1054</v>
      </c>
      <c r="C551">
        <v>16500000</v>
      </c>
      <c r="D551">
        <v>19</v>
      </c>
      <c r="E551">
        <v>0</v>
      </c>
      <c r="F551">
        <v>6</v>
      </c>
      <c r="G551">
        <v>9</v>
      </c>
      <c r="H551">
        <v>0</v>
      </c>
      <c r="I551">
        <v>0</v>
      </c>
      <c r="J551" t="s">
        <v>843</v>
      </c>
    </row>
    <row r="552" spans="1:10" x14ac:dyDescent="0.3">
      <c r="A552" t="s">
        <v>10</v>
      </c>
      <c r="B552" s="14" t="s">
        <v>1054</v>
      </c>
      <c r="C552">
        <v>17500000</v>
      </c>
      <c r="D552">
        <v>7</v>
      </c>
      <c r="E552">
        <v>0</v>
      </c>
      <c r="F552">
        <v>2</v>
      </c>
      <c r="G552">
        <v>6</v>
      </c>
      <c r="H552">
        <v>0</v>
      </c>
      <c r="I552">
        <v>0</v>
      </c>
      <c r="J552" t="s">
        <v>843</v>
      </c>
    </row>
    <row r="553" spans="1:10" x14ac:dyDescent="0.3">
      <c r="A553" t="s">
        <v>10</v>
      </c>
      <c r="B553" s="14" t="s">
        <v>1055</v>
      </c>
      <c r="C553">
        <v>15500000</v>
      </c>
      <c r="D553">
        <v>3</v>
      </c>
      <c r="E553">
        <v>1</v>
      </c>
      <c r="F553">
        <v>2</v>
      </c>
      <c r="G553">
        <v>5</v>
      </c>
      <c r="H553">
        <v>0</v>
      </c>
      <c r="I553">
        <v>0</v>
      </c>
      <c r="J553" t="s">
        <v>843</v>
      </c>
    </row>
    <row r="554" spans="1:10" x14ac:dyDescent="0.3">
      <c r="A554" t="s">
        <v>10</v>
      </c>
      <c r="B554" s="14" t="s">
        <v>1055</v>
      </c>
      <c r="C554">
        <v>13700000</v>
      </c>
      <c r="D554">
        <v>0</v>
      </c>
      <c r="E554">
        <v>0</v>
      </c>
      <c r="F554">
        <v>0</v>
      </c>
      <c r="G554">
        <v>0</v>
      </c>
      <c r="H554">
        <v>0</v>
      </c>
      <c r="I554">
        <v>0</v>
      </c>
      <c r="J554" t="s">
        <v>848</v>
      </c>
    </row>
    <row r="555" spans="1:10" x14ac:dyDescent="0.3">
      <c r="A555" t="s">
        <v>10</v>
      </c>
      <c r="B555" s="14" t="s">
        <v>1056</v>
      </c>
      <c r="C555">
        <v>26500000</v>
      </c>
      <c r="D555">
        <v>0</v>
      </c>
      <c r="E555">
        <v>0</v>
      </c>
      <c r="F555">
        <v>1</v>
      </c>
      <c r="G555">
        <v>1</v>
      </c>
      <c r="H555">
        <v>0</v>
      </c>
      <c r="I555">
        <v>0</v>
      </c>
      <c r="J555" t="s">
        <v>848</v>
      </c>
    </row>
    <row r="556" spans="1:10" x14ac:dyDescent="0.3">
      <c r="A556" t="s">
        <v>10</v>
      </c>
      <c r="B556" s="14" t="s">
        <v>1056</v>
      </c>
      <c r="C556">
        <v>23500000</v>
      </c>
      <c r="D556">
        <v>12</v>
      </c>
      <c r="E556">
        <v>0</v>
      </c>
      <c r="F556">
        <v>0</v>
      </c>
      <c r="G556">
        <v>0</v>
      </c>
      <c r="H556">
        <v>0</v>
      </c>
      <c r="I556">
        <v>0</v>
      </c>
      <c r="J556" t="s">
        <v>843</v>
      </c>
    </row>
    <row r="557" spans="1:10" x14ac:dyDescent="0.3">
      <c r="A557" t="s">
        <v>10</v>
      </c>
      <c r="B557" s="14" t="s">
        <v>1057</v>
      </c>
      <c r="C557">
        <v>26000000</v>
      </c>
      <c r="D557">
        <v>3</v>
      </c>
      <c r="E557">
        <v>0</v>
      </c>
      <c r="F557">
        <v>0</v>
      </c>
      <c r="G557">
        <v>0</v>
      </c>
      <c r="H557">
        <v>0</v>
      </c>
      <c r="I557">
        <v>0</v>
      </c>
      <c r="J557" t="s">
        <v>843</v>
      </c>
    </row>
    <row r="558" spans="1:10" x14ac:dyDescent="0.3">
      <c r="A558" t="s">
        <v>10</v>
      </c>
      <c r="B558" s="14" t="s">
        <v>1057</v>
      </c>
      <c r="C558">
        <v>26500000</v>
      </c>
      <c r="D558">
        <v>3</v>
      </c>
      <c r="E558">
        <v>0</v>
      </c>
      <c r="F558">
        <v>0</v>
      </c>
      <c r="G558">
        <v>1</v>
      </c>
      <c r="H558">
        <v>0</v>
      </c>
      <c r="I558">
        <v>0</v>
      </c>
      <c r="J558" t="s">
        <v>843</v>
      </c>
    </row>
    <row r="559" spans="1:10" x14ac:dyDescent="0.3">
      <c r="A559" t="s">
        <v>10</v>
      </c>
      <c r="B559" s="14" t="s">
        <v>1058</v>
      </c>
      <c r="C559">
        <v>23500000</v>
      </c>
      <c r="D559">
        <v>0</v>
      </c>
      <c r="E559">
        <v>0</v>
      </c>
      <c r="F559">
        <v>0</v>
      </c>
      <c r="G559">
        <v>0</v>
      </c>
      <c r="H559">
        <v>0</v>
      </c>
      <c r="I559">
        <v>0</v>
      </c>
      <c r="J559" t="s">
        <v>848</v>
      </c>
    </row>
    <row r="560" spans="1:10" x14ac:dyDescent="0.3">
      <c r="A560" t="s">
        <v>10</v>
      </c>
      <c r="B560" s="14" t="s">
        <v>1058</v>
      </c>
      <c r="C560">
        <v>25800000</v>
      </c>
      <c r="D560">
        <v>1</v>
      </c>
      <c r="E560">
        <v>0</v>
      </c>
      <c r="F560">
        <v>0</v>
      </c>
      <c r="G560">
        <v>0</v>
      </c>
      <c r="H560">
        <v>0</v>
      </c>
      <c r="I560">
        <v>0</v>
      </c>
      <c r="J560" t="s">
        <v>843</v>
      </c>
    </row>
    <row r="561" spans="1:10" x14ac:dyDescent="0.3">
      <c r="A561" t="s">
        <v>10</v>
      </c>
      <c r="B561" s="14" t="s">
        <v>1059</v>
      </c>
      <c r="C561">
        <v>20400000</v>
      </c>
      <c r="D561">
        <v>35</v>
      </c>
      <c r="E561">
        <v>3</v>
      </c>
      <c r="F561">
        <v>7</v>
      </c>
      <c r="G561">
        <v>14</v>
      </c>
      <c r="H561">
        <v>0</v>
      </c>
      <c r="I561">
        <v>0</v>
      </c>
      <c r="J561" t="s">
        <v>843</v>
      </c>
    </row>
    <row r="562" spans="1:10" x14ac:dyDescent="0.3">
      <c r="A562" t="s">
        <v>10</v>
      </c>
      <c r="B562" s="14" t="s">
        <v>1060</v>
      </c>
      <c r="C562">
        <v>27500000</v>
      </c>
      <c r="D562">
        <v>1</v>
      </c>
      <c r="E562">
        <v>0</v>
      </c>
      <c r="F562">
        <v>0</v>
      </c>
      <c r="G562">
        <v>0</v>
      </c>
      <c r="H562">
        <v>0</v>
      </c>
      <c r="I562">
        <v>0</v>
      </c>
      <c r="J562" t="s">
        <v>843</v>
      </c>
    </row>
    <row r="563" spans="1:10" x14ac:dyDescent="0.3">
      <c r="A563" t="s">
        <v>10</v>
      </c>
      <c r="B563" s="14" t="s">
        <v>1060</v>
      </c>
      <c r="C563">
        <v>30500000</v>
      </c>
      <c r="D563">
        <v>1</v>
      </c>
      <c r="E563">
        <v>0</v>
      </c>
      <c r="F563">
        <v>1</v>
      </c>
      <c r="G563">
        <v>1</v>
      </c>
      <c r="H563">
        <v>0</v>
      </c>
      <c r="I563">
        <v>0</v>
      </c>
      <c r="J563" t="s">
        <v>843</v>
      </c>
    </row>
    <row r="564" spans="1:10" x14ac:dyDescent="0.3">
      <c r="A564" t="s">
        <v>10</v>
      </c>
      <c r="B564" s="14" t="s">
        <v>1061</v>
      </c>
      <c r="C564">
        <v>31000000</v>
      </c>
      <c r="D564">
        <v>1</v>
      </c>
      <c r="E564">
        <v>0</v>
      </c>
      <c r="F564">
        <v>0</v>
      </c>
      <c r="G564">
        <v>1</v>
      </c>
      <c r="H564">
        <v>0</v>
      </c>
      <c r="I564">
        <v>0</v>
      </c>
      <c r="J564" t="s">
        <v>843</v>
      </c>
    </row>
    <row r="565" spans="1:10" x14ac:dyDescent="0.3">
      <c r="A565" t="s">
        <v>10</v>
      </c>
      <c r="B565" s="14" t="s">
        <v>1062</v>
      </c>
      <c r="C565">
        <v>26300000</v>
      </c>
      <c r="D565">
        <v>2</v>
      </c>
      <c r="E565">
        <v>0</v>
      </c>
      <c r="F565">
        <v>0</v>
      </c>
      <c r="G565">
        <v>5</v>
      </c>
      <c r="H565">
        <v>0</v>
      </c>
      <c r="I565">
        <v>0</v>
      </c>
      <c r="J565" t="s">
        <v>843</v>
      </c>
    </row>
    <row r="566" spans="1:10" x14ac:dyDescent="0.3">
      <c r="A566" t="s">
        <v>10</v>
      </c>
      <c r="B566" s="14" t="s">
        <v>1062</v>
      </c>
      <c r="C566">
        <v>21500000</v>
      </c>
      <c r="D566">
        <v>1</v>
      </c>
      <c r="E566">
        <v>0</v>
      </c>
      <c r="F566">
        <v>0</v>
      </c>
      <c r="G566">
        <v>0</v>
      </c>
      <c r="H566">
        <v>0</v>
      </c>
      <c r="I566">
        <v>0</v>
      </c>
      <c r="J566" t="s">
        <v>843</v>
      </c>
    </row>
    <row r="567" spans="1:10" x14ac:dyDescent="0.3">
      <c r="A567" t="s">
        <v>10</v>
      </c>
      <c r="B567" s="14" t="s">
        <v>1063</v>
      </c>
      <c r="C567">
        <v>31000000</v>
      </c>
      <c r="D567">
        <v>1</v>
      </c>
      <c r="E567">
        <v>0</v>
      </c>
      <c r="F567">
        <v>0</v>
      </c>
      <c r="G567">
        <v>0</v>
      </c>
      <c r="H567">
        <v>0</v>
      </c>
      <c r="I567">
        <v>0</v>
      </c>
      <c r="J567" t="s">
        <v>843</v>
      </c>
    </row>
    <row r="568" spans="1:10" x14ac:dyDescent="0.3">
      <c r="A568" t="s">
        <v>10</v>
      </c>
      <c r="B568" s="14" t="s">
        <v>1064</v>
      </c>
      <c r="C568">
        <v>28000000</v>
      </c>
      <c r="D568">
        <v>1</v>
      </c>
      <c r="E568">
        <v>0</v>
      </c>
      <c r="F568">
        <v>0</v>
      </c>
      <c r="G568">
        <v>0</v>
      </c>
      <c r="H568">
        <v>0</v>
      </c>
      <c r="I568">
        <v>0</v>
      </c>
      <c r="J568" t="s">
        <v>843</v>
      </c>
    </row>
    <row r="569" spans="1:10" x14ac:dyDescent="0.3">
      <c r="A569" t="s">
        <v>10</v>
      </c>
      <c r="B569" s="14" t="s">
        <v>1065</v>
      </c>
      <c r="C569">
        <v>24200000</v>
      </c>
      <c r="D569">
        <v>21</v>
      </c>
      <c r="E569">
        <v>0</v>
      </c>
      <c r="F569">
        <v>1</v>
      </c>
      <c r="G569">
        <v>2</v>
      </c>
      <c r="H569">
        <v>0</v>
      </c>
      <c r="I569">
        <v>2</v>
      </c>
      <c r="J569" t="s">
        <v>843</v>
      </c>
    </row>
    <row r="570" spans="1:10" x14ac:dyDescent="0.3">
      <c r="A570" t="s">
        <v>10</v>
      </c>
      <c r="B570" s="14" t="s">
        <v>1065</v>
      </c>
      <c r="C570">
        <v>25500000</v>
      </c>
      <c r="D570">
        <v>1</v>
      </c>
      <c r="E570">
        <v>1</v>
      </c>
      <c r="F570">
        <v>1</v>
      </c>
      <c r="G570">
        <v>1</v>
      </c>
      <c r="H570">
        <v>0</v>
      </c>
      <c r="I570">
        <v>0</v>
      </c>
      <c r="J570" t="s">
        <v>843</v>
      </c>
    </row>
    <row r="571" spans="1:10" x14ac:dyDescent="0.3">
      <c r="A571" t="s">
        <v>10</v>
      </c>
      <c r="B571" s="14" t="s">
        <v>1066</v>
      </c>
      <c r="C571">
        <v>24500000</v>
      </c>
      <c r="D571">
        <v>1</v>
      </c>
      <c r="E571">
        <v>0</v>
      </c>
      <c r="F571">
        <v>0</v>
      </c>
      <c r="G571">
        <v>0</v>
      </c>
      <c r="H571">
        <v>0</v>
      </c>
      <c r="I571">
        <v>0</v>
      </c>
      <c r="J571" t="s">
        <v>843</v>
      </c>
    </row>
    <row r="572" spans="1:10" x14ac:dyDescent="0.3">
      <c r="A572" t="s">
        <v>10</v>
      </c>
      <c r="B572" s="14" t="s">
        <v>1067</v>
      </c>
      <c r="C572">
        <v>23800000</v>
      </c>
      <c r="D572">
        <v>14</v>
      </c>
      <c r="E572">
        <v>1</v>
      </c>
      <c r="F572">
        <v>6</v>
      </c>
      <c r="G572">
        <v>12</v>
      </c>
      <c r="H572">
        <v>0</v>
      </c>
      <c r="I572">
        <v>16</v>
      </c>
      <c r="J572" t="s">
        <v>843</v>
      </c>
    </row>
    <row r="573" spans="1:10" x14ac:dyDescent="0.3">
      <c r="A573" t="s">
        <v>10</v>
      </c>
      <c r="B573" s="14" t="s">
        <v>1068</v>
      </c>
      <c r="C573">
        <v>26000000</v>
      </c>
      <c r="D573">
        <v>13</v>
      </c>
      <c r="E573">
        <v>0</v>
      </c>
      <c r="F573">
        <v>0</v>
      </c>
      <c r="G573">
        <v>1</v>
      </c>
      <c r="H573">
        <v>0</v>
      </c>
      <c r="I573">
        <v>0</v>
      </c>
      <c r="J573" t="s">
        <v>843</v>
      </c>
    </row>
    <row r="574" spans="1:10" x14ac:dyDescent="0.3">
      <c r="A574" t="s">
        <v>10</v>
      </c>
      <c r="B574" s="14" t="s">
        <v>1069</v>
      </c>
      <c r="C574">
        <v>13000000</v>
      </c>
      <c r="D574">
        <v>1</v>
      </c>
      <c r="E574">
        <v>0</v>
      </c>
      <c r="F574">
        <v>0</v>
      </c>
      <c r="G574">
        <v>0</v>
      </c>
      <c r="H574">
        <v>0</v>
      </c>
      <c r="I574">
        <v>0</v>
      </c>
      <c r="J574" t="s">
        <v>843</v>
      </c>
    </row>
    <row r="575" spans="1:10" x14ac:dyDescent="0.3">
      <c r="A575" t="s">
        <v>10</v>
      </c>
      <c r="B575" s="14" t="s">
        <v>1070</v>
      </c>
      <c r="C575">
        <v>13900000</v>
      </c>
      <c r="D575">
        <v>1</v>
      </c>
      <c r="E575">
        <v>0</v>
      </c>
      <c r="F575">
        <v>1</v>
      </c>
      <c r="G575">
        <v>1</v>
      </c>
      <c r="H575">
        <v>0</v>
      </c>
      <c r="I575">
        <v>0</v>
      </c>
      <c r="J575" t="s">
        <v>843</v>
      </c>
    </row>
    <row r="576" spans="1:10" x14ac:dyDescent="0.3">
      <c r="A576" t="s">
        <v>10</v>
      </c>
      <c r="B576" s="14" t="s">
        <v>1071</v>
      </c>
      <c r="C576">
        <v>11590000</v>
      </c>
      <c r="D576">
        <v>4</v>
      </c>
      <c r="E576">
        <v>0</v>
      </c>
      <c r="F576">
        <v>0</v>
      </c>
      <c r="G576">
        <v>2</v>
      </c>
      <c r="H576">
        <v>0</v>
      </c>
      <c r="I576">
        <v>0</v>
      </c>
      <c r="J576" t="s">
        <v>843</v>
      </c>
    </row>
    <row r="577" spans="1:10" x14ac:dyDescent="0.3">
      <c r="A577" t="s">
        <v>10</v>
      </c>
      <c r="B577" s="14" t="s">
        <v>1072</v>
      </c>
      <c r="C577">
        <v>13500000</v>
      </c>
      <c r="D577">
        <v>1</v>
      </c>
      <c r="E577">
        <v>0</v>
      </c>
      <c r="F577">
        <v>0</v>
      </c>
      <c r="G577">
        <v>0</v>
      </c>
      <c r="H577">
        <v>0</v>
      </c>
      <c r="I577">
        <v>0</v>
      </c>
      <c r="J577" t="s">
        <v>843</v>
      </c>
    </row>
    <row r="578" spans="1:10" x14ac:dyDescent="0.3">
      <c r="A578" t="s">
        <v>10</v>
      </c>
      <c r="B578" s="14" t="s">
        <v>1073</v>
      </c>
      <c r="C578">
        <v>10000000</v>
      </c>
      <c r="D578">
        <v>3</v>
      </c>
      <c r="E578">
        <v>0</v>
      </c>
      <c r="F578">
        <v>2</v>
      </c>
      <c r="G578">
        <v>3</v>
      </c>
      <c r="H578">
        <v>0</v>
      </c>
      <c r="I578">
        <v>0</v>
      </c>
      <c r="J578" t="s">
        <v>843</v>
      </c>
    </row>
    <row r="579" spans="1:10" x14ac:dyDescent="0.3">
      <c r="A579" t="s">
        <v>10</v>
      </c>
      <c r="B579" s="14" t="s">
        <v>1074</v>
      </c>
      <c r="C579">
        <v>9500000</v>
      </c>
      <c r="D579">
        <v>1</v>
      </c>
      <c r="E579">
        <v>0</v>
      </c>
      <c r="F579">
        <v>0</v>
      </c>
      <c r="G579">
        <v>0</v>
      </c>
      <c r="H579">
        <v>0</v>
      </c>
      <c r="I579">
        <v>0</v>
      </c>
      <c r="J579" t="s">
        <v>843</v>
      </c>
    </row>
    <row r="580" spans="1:10" x14ac:dyDescent="0.3">
      <c r="A580" t="s">
        <v>10</v>
      </c>
      <c r="B580" s="14" t="s">
        <v>1075</v>
      </c>
      <c r="C580">
        <v>9500000</v>
      </c>
      <c r="D580">
        <v>0</v>
      </c>
      <c r="E580">
        <v>0</v>
      </c>
      <c r="F580">
        <v>0</v>
      </c>
      <c r="G580">
        <v>0</v>
      </c>
      <c r="H580">
        <v>0</v>
      </c>
      <c r="I580">
        <v>0</v>
      </c>
      <c r="J580" t="s">
        <v>848</v>
      </c>
    </row>
    <row r="581" spans="1:10" x14ac:dyDescent="0.3">
      <c r="A581" t="s">
        <v>10</v>
      </c>
      <c r="B581" s="14" t="s">
        <v>1076</v>
      </c>
      <c r="C581">
        <v>8990000</v>
      </c>
      <c r="D581">
        <v>1</v>
      </c>
      <c r="E581">
        <v>0</v>
      </c>
      <c r="F581">
        <v>0</v>
      </c>
      <c r="G581">
        <v>0</v>
      </c>
      <c r="H581">
        <v>0</v>
      </c>
      <c r="I581">
        <v>0</v>
      </c>
      <c r="J581" t="s">
        <v>843</v>
      </c>
    </row>
    <row r="582" spans="1:10" x14ac:dyDescent="0.3">
      <c r="A582" t="s">
        <v>215</v>
      </c>
      <c r="B582" s="14" t="s">
        <v>676</v>
      </c>
      <c r="D582">
        <v>1</v>
      </c>
      <c r="E582">
        <v>0</v>
      </c>
      <c r="F582">
        <v>0</v>
      </c>
      <c r="G582">
        <v>0</v>
      </c>
      <c r="H582">
        <v>0</v>
      </c>
      <c r="I582">
        <v>0</v>
      </c>
      <c r="J582" t="s">
        <v>843</v>
      </c>
    </row>
    <row r="583" spans="1:10" x14ac:dyDescent="0.3">
      <c r="A583" t="s">
        <v>215</v>
      </c>
      <c r="B583" s="14" t="s">
        <v>1077</v>
      </c>
      <c r="C583">
        <v>120000</v>
      </c>
      <c r="D583">
        <v>1</v>
      </c>
      <c r="E583">
        <v>0</v>
      </c>
      <c r="F583">
        <v>0</v>
      </c>
      <c r="G583">
        <v>0</v>
      </c>
      <c r="H583">
        <v>0</v>
      </c>
      <c r="I583">
        <v>0</v>
      </c>
      <c r="J583" t="s">
        <v>843</v>
      </c>
    </row>
    <row r="584" spans="1:10" x14ac:dyDescent="0.3">
      <c r="A584" t="s">
        <v>215</v>
      </c>
      <c r="B584" s="14" t="s">
        <v>356</v>
      </c>
      <c r="C584">
        <v>220000</v>
      </c>
      <c r="D584">
        <v>0</v>
      </c>
      <c r="E584">
        <v>0</v>
      </c>
      <c r="F584">
        <v>0</v>
      </c>
      <c r="G584">
        <v>0</v>
      </c>
      <c r="H584">
        <v>0</v>
      </c>
      <c r="I584">
        <v>0</v>
      </c>
      <c r="J584" t="s">
        <v>848</v>
      </c>
    </row>
    <row r="585" spans="1:10" x14ac:dyDescent="0.3">
      <c r="A585" t="s">
        <v>215</v>
      </c>
      <c r="B585" s="14" t="s">
        <v>678</v>
      </c>
      <c r="C585">
        <v>200000</v>
      </c>
      <c r="D585">
        <v>1</v>
      </c>
      <c r="E585">
        <v>0</v>
      </c>
      <c r="F585">
        <v>0</v>
      </c>
      <c r="G585">
        <v>0</v>
      </c>
      <c r="H585">
        <v>0</v>
      </c>
      <c r="I585">
        <v>0</v>
      </c>
      <c r="J585" t="s">
        <v>843</v>
      </c>
    </row>
    <row r="586" spans="1:10" x14ac:dyDescent="0.3">
      <c r="A586" t="s">
        <v>264</v>
      </c>
      <c r="B586" s="14" t="s">
        <v>1078</v>
      </c>
      <c r="C586">
        <v>20000000</v>
      </c>
      <c r="D586">
        <v>31</v>
      </c>
      <c r="E586">
        <v>0</v>
      </c>
      <c r="F586">
        <v>1</v>
      </c>
      <c r="G586">
        <v>1</v>
      </c>
      <c r="H586">
        <v>0</v>
      </c>
      <c r="I586">
        <v>0</v>
      </c>
      <c r="J586" t="s">
        <v>843</v>
      </c>
    </row>
    <row r="587" spans="1:10" x14ac:dyDescent="0.3">
      <c r="A587" t="s">
        <v>264</v>
      </c>
      <c r="B587" s="14" t="s">
        <v>1079</v>
      </c>
      <c r="D587">
        <v>1</v>
      </c>
      <c r="E587">
        <v>0</v>
      </c>
      <c r="F587">
        <v>0</v>
      </c>
      <c r="G587">
        <v>0</v>
      </c>
      <c r="H587">
        <v>0</v>
      </c>
      <c r="I587">
        <v>0</v>
      </c>
      <c r="J587" t="s">
        <v>843</v>
      </c>
    </row>
    <row r="588" spans="1:10" x14ac:dyDescent="0.3">
      <c r="A588" t="s">
        <v>264</v>
      </c>
      <c r="B588" s="14" t="s">
        <v>1080</v>
      </c>
      <c r="C588">
        <v>17000000</v>
      </c>
      <c r="D588">
        <v>33</v>
      </c>
      <c r="E588">
        <v>0</v>
      </c>
      <c r="F588">
        <v>-1</v>
      </c>
      <c r="G588">
        <v>1</v>
      </c>
      <c r="H588">
        <v>0</v>
      </c>
      <c r="I588">
        <v>0</v>
      </c>
      <c r="J588" t="s">
        <v>843</v>
      </c>
    </row>
    <row r="589" spans="1:10" x14ac:dyDescent="0.3">
      <c r="A589" t="s">
        <v>215</v>
      </c>
      <c r="B589" s="14" t="s">
        <v>680</v>
      </c>
      <c r="C589">
        <v>179000</v>
      </c>
      <c r="D589">
        <v>1</v>
      </c>
      <c r="E589">
        <v>0</v>
      </c>
      <c r="F589">
        <v>0</v>
      </c>
      <c r="G589">
        <v>0</v>
      </c>
      <c r="H589">
        <v>0</v>
      </c>
      <c r="I589">
        <v>0</v>
      </c>
      <c r="J589" t="s">
        <v>843</v>
      </c>
    </row>
    <row r="590" spans="1:10" x14ac:dyDescent="0.3">
      <c r="A590" t="s">
        <v>215</v>
      </c>
      <c r="B590" s="14" t="s">
        <v>679</v>
      </c>
      <c r="C590">
        <v>179000</v>
      </c>
      <c r="D590">
        <v>1</v>
      </c>
      <c r="E590">
        <v>0</v>
      </c>
      <c r="F590">
        <v>0</v>
      </c>
      <c r="G590">
        <v>0</v>
      </c>
      <c r="H590">
        <v>0</v>
      </c>
      <c r="I590">
        <v>0</v>
      </c>
      <c r="J590" t="s">
        <v>843</v>
      </c>
    </row>
    <row r="591" spans="1:10" x14ac:dyDescent="0.3">
      <c r="A591" t="s">
        <v>125</v>
      </c>
      <c r="B591" s="14" t="s">
        <v>1081</v>
      </c>
      <c r="C591">
        <v>350000</v>
      </c>
      <c r="D591">
        <v>2</v>
      </c>
      <c r="E591">
        <v>0</v>
      </c>
      <c r="F591">
        <v>0</v>
      </c>
      <c r="G591">
        <v>0</v>
      </c>
      <c r="H591">
        <v>0</v>
      </c>
      <c r="I591">
        <v>0</v>
      </c>
      <c r="J591" t="s">
        <v>843</v>
      </c>
    </row>
    <row r="592" spans="1:10" x14ac:dyDescent="0.3">
      <c r="A592" t="s">
        <v>125</v>
      </c>
      <c r="B592" s="14" t="s">
        <v>1082</v>
      </c>
      <c r="C592">
        <v>400000</v>
      </c>
      <c r="D592">
        <v>2</v>
      </c>
      <c r="E592">
        <v>0</v>
      </c>
      <c r="F592">
        <v>0</v>
      </c>
      <c r="G592">
        <v>0</v>
      </c>
      <c r="H592">
        <v>0</v>
      </c>
      <c r="I592">
        <v>0</v>
      </c>
      <c r="J592" t="s">
        <v>843</v>
      </c>
    </row>
    <row r="593" spans="1:10" x14ac:dyDescent="0.3">
      <c r="A593" t="s">
        <v>125</v>
      </c>
      <c r="B593" s="14" t="s">
        <v>1083</v>
      </c>
      <c r="C593">
        <v>100000</v>
      </c>
      <c r="D593">
        <v>1</v>
      </c>
      <c r="E593">
        <v>0</v>
      </c>
      <c r="F593">
        <v>0</v>
      </c>
      <c r="G593">
        <v>0</v>
      </c>
      <c r="H593">
        <v>0</v>
      </c>
      <c r="I593">
        <v>0</v>
      </c>
      <c r="J593" t="s">
        <v>843</v>
      </c>
    </row>
    <row r="594" spans="1:10" x14ac:dyDescent="0.3">
      <c r="A594" t="s">
        <v>125</v>
      </c>
      <c r="B594" s="14" t="s">
        <v>1084</v>
      </c>
      <c r="C594">
        <v>390000</v>
      </c>
      <c r="D594">
        <v>0</v>
      </c>
      <c r="E594">
        <v>0</v>
      </c>
      <c r="F594">
        <v>0</v>
      </c>
      <c r="G594">
        <v>0</v>
      </c>
      <c r="H594">
        <v>0</v>
      </c>
      <c r="I594">
        <v>0</v>
      </c>
      <c r="J594" t="s">
        <v>848</v>
      </c>
    </row>
    <row r="595" spans="1:10" x14ac:dyDescent="0.3">
      <c r="A595" t="s">
        <v>125</v>
      </c>
      <c r="B595" s="14" t="s">
        <v>1085</v>
      </c>
      <c r="C595">
        <v>500000</v>
      </c>
      <c r="D595">
        <v>1</v>
      </c>
      <c r="E595">
        <v>0</v>
      </c>
      <c r="F595">
        <v>0</v>
      </c>
      <c r="G595">
        <v>0</v>
      </c>
      <c r="H595">
        <v>0</v>
      </c>
      <c r="I595">
        <v>0</v>
      </c>
      <c r="J595" t="s">
        <v>843</v>
      </c>
    </row>
    <row r="596" spans="1:10" x14ac:dyDescent="0.3">
      <c r="A596" t="s">
        <v>125</v>
      </c>
      <c r="B596" s="14" t="s">
        <v>708</v>
      </c>
      <c r="C596">
        <v>500000</v>
      </c>
      <c r="D596">
        <v>1</v>
      </c>
      <c r="E596">
        <v>0</v>
      </c>
      <c r="F596">
        <v>0</v>
      </c>
      <c r="G596">
        <v>0</v>
      </c>
      <c r="H596">
        <v>0</v>
      </c>
      <c r="I596">
        <v>0</v>
      </c>
      <c r="J596" t="s">
        <v>843</v>
      </c>
    </row>
    <row r="597" spans="1:10" x14ac:dyDescent="0.3">
      <c r="A597" t="s">
        <v>125</v>
      </c>
      <c r="B597" s="14" t="s">
        <v>709</v>
      </c>
      <c r="D597">
        <v>1</v>
      </c>
      <c r="E597">
        <v>0</v>
      </c>
      <c r="F597">
        <v>0</v>
      </c>
      <c r="G597">
        <v>0</v>
      </c>
      <c r="H597">
        <v>0</v>
      </c>
      <c r="I597">
        <v>0</v>
      </c>
      <c r="J597" t="s">
        <v>843</v>
      </c>
    </row>
    <row r="598" spans="1:10" x14ac:dyDescent="0.3">
      <c r="A598" t="s">
        <v>125</v>
      </c>
      <c r="B598" s="14" t="s">
        <v>1086</v>
      </c>
      <c r="C598">
        <v>1690000</v>
      </c>
      <c r="D598">
        <v>1</v>
      </c>
      <c r="E598">
        <v>0</v>
      </c>
      <c r="F598">
        <v>0</v>
      </c>
      <c r="G598">
        <v>0</v>
      </c>
      <c r="H598">
        <v>0</v>
      </c>
      <c r="I598">
        <v>0</v>
      </c>
      <c r="J598" t="s">
        <v>843</v>
      </c>
    </row>
    <row r="599" spans="1:10" x14ac:dyDescent="0.3">
      <c r="A599" t="s">
        <v>125</v>
      </c>
      <c r="B599" s="14" t="s">
        <v>364</v>
      </c>
      <c r="C599">
        <v>800000</v>
      </c>
      <c r="D599">
        <v>0</v>
      </c>
      <c r="E599">
        <v>0</v>
      </c>
      <c r="F599">
        <v>0</v>
      </c>
      <c r="G599">
        <v>1</v>
      </c>
      <c r="H599">
        <v>0</v>
      </c>
      <c r="I599">
        <v>0</v>
      </c>
      <c r="J599" t="s">
        <v>848</v>
      </c>
    </row>
    <row r="600" spans="1:10" x14ac:dyDescent="0.3">
      <c r="A600" t="s">
        <v>125</v>
      </c>
      <c r="B600" s="14" t="s">
        <v>1087</v>
      </c>
      <c r="C600">
        <v>600000</v>
      </c>
      <c r="D600">
        <v>0</v>
      </c>
      <c r="E600">
        <v>0</v>
      </c>
      <c r="F600">
        <v>0</v>
      </c>
      <c r="G600">
        <v>0</v>
      </c>
      <c r="H600">
        <v>0</v>
      </c>
      <c r="I600">
        <v>0</v>
      </c>
      <c r="J600" t="s">
        <v>848</v>
      </c>
    </row>
    <row r="601" spans="1:10" x14ac:dyDescent="0.3">
      <c r="A601" t="s">
        <v>125</v>
      </c>
      <c r="B601" s="14" t="s">
        <v>1087</v>
      </c>
      <c r="C601">
        <v>1200000</v>
      </c>
      <c r="D601">
        <v>3</v>
      </c>
      <c r="E601">
        <v>0</v>
      </c>
      <c r="F601">
        <v>0</v>
      </c>
      <c r="G601">
        <v>0</v>
      </c>
      <c r="H601">
        <v>0</v>
      </c>
      <c r="I601">
        <v>0</v>
      </c>
      <c r="J601" t="s">
        <v>843</v>
      </c>
    </row>
    <row r="602" spans="1:10" x14ac:dyDescent="0.3">
      <c r="A602" t="s">
        <v>125</v>
      </c>
      <c r="B602" s="14" t="s">
        <v>1087</v>
      </c>
      <c r="C602">
        <v>750000</v>
      </c>
      <c r="D602">
        <v>1</v>
      </c>
      <c r="E602">
        <v>0</v>
      </c>
      <c r="F602">
        <v>-1</v>
      </c>
      <c r="G602">
        <v>0</v>
      </c>
      <c r="H602">
        <v>0</v>
      </c>
      <c r="I602">
        <v>0</v>
      </c>
      <c r="J602" t="s">
        <v>843</v>
      </c>
    </row>
    <row r="603" spans="1:10" x14ac:dyDescent="0.3">
      <c r="A603" t="s">
        <v>125</v>
      </c>
      <c r="B603" s="14" t="s">
        <v>1088</v>
      </c>
      <c r="C603">
        <v>1890000</v>
      </c>
      <c r="D603">
        <v>8</v>
      </c>
      <c r="E603">
        <v>1</v>
      </c>
      <c r="F603">
        <v>2</v>
      </c>
      <c r="G603">
        <v>6</v>
      </c>
      <c r="H603">
        <v>0</v>
      </c>
      <c r="I603">
        <v>0</v>
      </c>
      <c r="J603" t="s">
        <v>843</v>
      </c>
    </row>
    <row r="604" spans="1:10" x14ac:dyDescent="0.3">
      <c r="A604" t="s">
        <v>125</v>
      </c>
      <c r="B604" s="14" t="s">
        <v>711</v>
      </c>
      <c r="D604">
        <v>1</v>
      </c>
      <c r="E604">
        <v>0</v>
      </c>
      <c r="F604">
        <v>0</v>
      </c>
      <c r="G604">
        <v>0</v>
      </c>
      <c r="H604">
        <v>0</v>
      </c>
      <c r="I604">
        <v>0</v>
      </c>
      <c r="J604" t="s">
        <v>843</v>
      </c>
    </row>
    <row r="605" spans="1:10" x14ac:dyDescent="0.3">
      <c r="A605" t="s">
        <v>125</v>
      </c>
      <c r="B605" s="14" t="s">
        <v>712</v>
      </c>
      <c r="C605">
        <v>1000000</v>
      </c>
      <c r="D605">
        <v>1</v>
      </c>
      <c r="E605">
        <v>0</v>
      </c>
      <c r="F605">
        <v>0</v>
      </c>
      <c r="G605">
        <v>0</v>
      </c>
      <c r="H605">
        <v>0</v>
      </c>
      <c r="I605">
        <v>0</v>
      </c>
      <c r="J605" t="s">
        <v>843</v>
      </c>
    </row>
    <row r="606" spans="1:10" x14ac:dyDescent="0.3">
      <c r="A606" t="s">
        <v>125</v>
      </c>
      <c r="B606" s="14" t="s">
        <v>710</v>
      </c>
      <c r="C606">
        <v>1600000</v>
      </c>
      <c r="D606">
        <v>7</v>
      </c>
      <c r="E606">
        <v>0</v>
      </c>
      <c r="F606">
        <v>0</v>
      </c>
      <c r="G606">
        <v>0</v>
      </c>
      <c r="H606">
        <v>0</v>
      </c>
      <c r="I606">
        <v>0</v>
      </c>
      <c r="J606" t="s">
        <v>843</v>
      </c>
    </row>
    <row r="607" spans="1:10" x14ac:dyDescent="0.3">
      <c r="A607" t="s">
        <v>125</v>
      </c>
      <c r="B607" s="14" t="s">
        <v>1089</v>
      </c>
      <c r="C607">
        <v>500000</v>
      </c>
      <c r="D607">
        <v>1</v>
      </c>
      <c r="E607">
        <v>0</v>
      </c>
      <c r="F607">
        <v>0</v>
      </c>
      <c r="G607">
        <v>0</v>
      </c>
      <c r="H607">
        <v>0</v>
      </c>
      <c r="I607">
        <v>0</v>
      </c>
      <c r="J607" t="s">
        <v>843</v>
      </c>
    </row>
    <row r="608" spans="1:10" x14ac:dyDescent="0.3">
      <c r="A608" t="s">
        <v>125</v>
      </c>
      <c r="B608" s="14" t="s">
        <v>714</v>
      </c>
      <c r="C608">
        <v>450000</v>
      </c>
      <c r="D608">
        <v>1</v>
      </c>
      <c r="E608">
        <v>0</v>
      </c>
      <c r="F608">
        <v>0</v>
      </c>
      <c r="G608">
        <v>0</v>
      </c>
      <c r="H608">
        <v>0</v>
      </c>
      <c r="I608">
        <v>0</v>
      </c>
      <c r="J608" t="s">
        <v>843</v>
      </c>
    </row>
    <row r="609" spans="1:10" x14ac:dyDescent="0.3">
      <c r="A609" t="s">
        <v>125</v>
      </c>
      <c r="B609" s="14" t="s">
        <v>1090</v>
      </c>
      <c r="C609">
        <v>1790000</v>
      </c>
      <c r="D609">
        <v>2</v>
      </c>
      <c r="E609">
        <v>0</v>
      </c>
      <c r="F609">
        <v>0</v>
      </c>
      <c r="G609">
        <v>0</v>
      </c>
      <c r="H609">
        <v>0</v>
      </c>
      <c r="I609">
        <v>0</v>
      </c>
      <c r="J609" t="s">
        <v>843</v>
      </c>
    </row>
    <row r="610" spans="1:10" x14ac:dyDescent="0.3">
      <c r="A610" t="s">
        <v>125</v>
      </c>
      <c r="B610" s="14" t="s">
        <v>1091</v>
      </c>
      <c r="C610">
        <v>1200000</v>
      </c>
      <c r="D610">
        <v>2</v>
      </c>
      <c r="E610">
        <v>0</v>
      </c>
      <c r="F610">
        <v>0</v>
      </c>
      <c r="G610">
        <v>0</v>
      </c>
      <c r="H610">
        <v>0</v>
      </c>
      <c r="I610">
        <v>0</v>
      </c>
      <c r="J610" t="s">
        <v>843</v>
      </c>
    </row>
    <row r="611" spans="1:10" x14ac:dyDescent="0.3">
      <c r="A611" t="s">
        <v>125</v>
      </c>
      <c r="B611" s="14" t="s">
        <v>1092</v>
      </c>
      <c r="C611">
        <v>650000</v>
      </c>
      <c r="D611">
        <v>0</v>
      </c>
      <c r="E611">
        <v>0</v>
      </c>
      <c r="F611">
        <v>0</v>
      </c>
      <c r="G611">
        <v>2</v>
      </c>
      <c r="H611">
        <v>0</v>
      </c>
      <c r="I611">
        <v>0</v>
      </c>
      <c r="J611" t="s">
        <v>848</v>
      </c>
    </row>
    <row r="612" spans="1:10" x14ac:dyDescent="0.3">
      <c r="A612" t="s">
        <v>125</v>
      </c>
      <c r="B612" s="14" t="s">
        <v>217</v>
      </c>
      <c r="C612">
        <v>1690000</v>
      </c>
      <c r="D612">
        <v>1</v>
      </c>
      <c r="E612">
        <v>1</v>
      </c>
      <c r="F612">
        <v>1</v>
      </c>
      <c r="G612">
        <v>2</v>
      </c>
      <c r="H612">
        <v>0</v>
      </c>
      <c r="I612">
        <v>0</v>
      </c>
      <c r="J612" t="s">
        <v>843</v>
      </c>
    </row>
    <row r="613" spans="1:10" x14ac:dyDescent="0.3">
      <c r="A613" t="s">
        <v>125</v>
      </c>
      <c r="B613" s="14" t="s">
        <v>1093</v>
      </c>
      <c r="C613">
        <v>1090000</v>
      </c>
      <c r="D613">
        <v>2</v>
      </c>
      <c r="E613">
        <v>0</v>
      </c>
      <c r="F613">
        <v>0</v>
      </c>
      <c r="G613">
        <v>0</v>
      </c>
      <c r="H613">
        <v>0</v>
      </c>
      <c r="I613">
        <v>0</v>
      </c>
      <c r="J613" t="s">
        <v>843</v>
      </c>
    </row>
    <row r="614" spans="1:10" x14ac:dyDescent="0.3">
      <c r="A614" t="s">
        <v>125</v>
      </c>
      <c r="B614" s="14" t="s">
        <v>1093</v>
      </c>
      <c r="C614">
        <v>1100000</v>
      </c>
      <c r="D614">
        <v>1</v>
      </c>
      <c r="E614">
        <v>0</v>
      </c>
      <c r="F614">
        <v>0</v>
      </c>
      <c r="G614">
        <v>0</v>
      </c>
      <c r="H614">
        <v>0</v>
      </c>
      <c r="I614">
        <v>0</v>
      </c>
      <c r="J614" t="s">
        <v>843</v>
      </c>
    </row>
    <row r="615" spans="1:10" x14ac:dyDescent="0.3">
      <c r="A615" t="s">
        <v>125</v>
      </c>
      <c r="B615" s="14" t="s">
        <v>1094</v>
      </c>
      <c r="C615">
        <v>2150000</v>
      </c>
      <c r="D615">
        <v>3</v>
      </c>
      <c r="E615">
        <v>0</v>
      </c>
      <c r="F615">
        <v>1</v>
      </c>
      <c r="G615">
        <v>1</v>
      </c>
      <c r="H615">
        <v>0</v>
      </c>
      <c r="I615">
        <v>0</v>
      </c>
      <c r="J615" t="s">
        <v>843</v>
      </c>
    </row>
    <row r="616" spans="1:10" x14ac:dyDescent="0.3">
      <c r="A616" t="s">
        <v>125</v>
      </c>
      <c r="B616" s="14" t="s">
        <v>367</v>
      </c>
      <c r="C616">
        <v>1000000</v>
      </c>
      <c r="D616">
        <v>0</v>
      </c>
      <c r="E616">
        <v>0</v>
      </c>
      <c r="F616">
        <v>0</v>
      </c>
      <c r="G616">
        <v>0</v>
      </c>
      <c r="H616">
        <v>0</v>
      </c>
      <c r="I616">
        <v>0</v>
      </c>
      <c r="J616" t="s">
        <v>848</v>
      </c>
    </row>
    <row r="617" spans="1:10" x14ac:dyDescent="0.3">
      <c r="A617" t="s">
        <v>125</v>
      </c>
      <c r="B617" s="14" t="s">
        <v>1095</v>
      </c>
      <c r="C617">
        <v>1500000</v>
      </c>
      <c r="D617">
        <v>0</v>
      </c>
      <c r="E617">
        <v>0</v>
      </c>
      <c r="F617">
        <v>1</v>
      </c>
      <c r="G617">
        <v>1</v>
      </c>
      <c r="H617">
        <v>0</v>
      </c>
      <c r="I617">
        <v>0</v>
      </c>
      <c r="J617" t="s">
        <v>848</v>
      </c>
    </row>
    <row r="618" spans="1:10" x14ac:dyDescent="0.3">
      <c r="A618" t="s">
        <v>125</v>
      </c>
      <c r="B618" s="14" t="s">
        <v>1095</v>
      </c>
      <c r="C618">
        <v>1800000</v>
      </c>
      <c r="D618">
        <v>0</v>
      </c>
      <c r="E618">
        <v>0</v>
      </c>
      <c r="F618">
        <v>0</v>
      </c>
      <c r="G618">
        <v>0</v>
      </c>
      <c r="H618">
        <v>0</v>
      </c>
      <c r="I618">
        <v>0</v>
      </c>
      <c r="J618" t="s">
        <v>848</v>
      </c>
    </row>
    <row r="619" spans="1:10" x14ac:dyDescent="0.3">
      <c r="A619" t="s">
        <v>125</v>
      </c>
      <c r="B619" s="14" t="s">
        <v>717</v>
      </c>
      <c r="C619">
        <v>690000</v>
      </c>
      <c r="D619">
        <v>1</v>
      </c>
      <c r="E619">
        <v>0</v>
      </c>
      <c r="F619">
        <v>0</v>
      </c>
      <c r="G619">
        <v>0</v>
      </c>
      <c r="H619">
        <v>0</v>
      </c>
      <c r="I619">
        <v>0</v>
      </c>
      <c r="J619" t="s">
        <v>843</v>
      </c>
    </row>
    <row r="620" spans="1:10" x14ac:dyDescent="0.3">
      <c r="A620" t="s">
        <v>125</v>
      </c>
      <c r="B620" s="14" t="s">
        <v>716</v>
      </c>
      <c r="C620">
        <v>690000</v>
      </c>
      <c r="D620">
        <v>2</v>
      </c>
      <c r="E620">
        <v>0</v>
      </c>
      <c r="F620">
        <v>0</v>
      </c>
      <c r="G620">
        <v>0</v>
      </c>
      <c r="H620">
        <v>0</v>
      </c>
      <c r="I620">
        <v>0</v>
      </c>
      <c r="J620" t="s">
        <v>843</v>
      </c>
    </row>
    <row r="621" spans="1:10" x14ac:dyDescent="0.3">
      <c r="A621" t="s">
        <v>125</v>
      </c>
      <c r="B621" s="14" t="s">
        <v>718</v>
      </c>
      <c r="C621">
        <v>1800000</v>
      </c>
      <c r="D621">
        <v>1</v>
      </c>
      <c r="E621">
        <v>0</v>
      </c>
      <c r="F621">
        <v>0</v>
      </c>
      <c r="G621">
        <v>0</v>
      </c>
      <c r="H621">
        <v>0</v>
      </c>
      <c r="I621">
        <v>0</v>
      </c>
      <c r="J621" t="s">
        <v>843</v>
      </c>
    </row>
    <row r="622" spans="1:10" x14ac:dyDescent="0.3">
      <c r="A622" t="s">
        <v>125</v>
      </c>
      <c r="B622" s="14" t="s">
        <v>1096</v>
      </c>
      <c r="C622">
        <v>3000000</v>
      </c>
      <c r="D622">
        <v>0</v>
      </c>
      <c r="E622">
        <v>0</v>
      </c>
      <c r="F622">
        <v>2</v>
      </c>
      <c r="G622">
        <v>2</v>
      </c>
      <c r="H622">
        <v>0</v>
      </c>
      <c r="I622">
        <v>0</v>
      </c>
      <c r="J622" t="s">
        <v>848</v>
      </c>
    </row>
    <row r="623" spans="1:10" x14ac:dyDescent="0.3">
      <c r="A623" t="s">
        <v>125</v>
      </c>
      <c r="B623" s="14" t="s">
        <v>1096</v>
      </c>
      <c r="C623">
        <v>2200000</v>
      </c>
      <c r="D623">
        <v>0</v>
      </c>
      <c r="E623">
        <v>0</v>
      </c>
      <c r="F623">
        <v>0</v>
      </c>
      <c r="G623">
        <v>0</v>
      </c>
      <c r="H623">
        <v>0</v>
      </c>
      <c r="I623">
        <v>0</v>
      </c>
      <c r="J623" t="s">
        <v>848</v>
      </c>
    </row>
    <row r="624" spans="1:10" x14ac:dyDescent="0.3">
      <c r="A624" t="s">
        <v>125</v>
      </c>
      <c r="B624" s="14" t="s">
        <v>1097</v>
      </c>
      <c r="C624">
        <v>1300000</v>
      </c>
      <c r="D624">
        <v>1</v>
      </c>
      <c r="E624">
        <v>0</v>
      </c>
      <c r="F624">
        <v>0</v>
      </c>
      <c r="G624">
        <v>0</v>
      </c>
      <c r="H624">
        <v>0</v>
      </c>
      <c r="I624">
        <v>0</v>
      </c>
      <c r="J624" t="s">
        <v>843</v>
      </c>
    </row>
    <row r="625" spans="1:10" x14ac:dyDescent="0.3">
      <c r="A625" t="s">
        <v>125</v>
      </c>
      <c r="B625" s="14" t="s">
        <v>720</v>
      </c>
      <c r="C625">
        <v>1000000</v>
      </c>
      <c r="D625">
        <v>1</v>
      </c>
      <c r="E625">
        <v>0</v>
      </c>
      <c r="F625">
        <v>0</v>
      </c>
      <c r="G625">
        <v>0</v>
      </c>
      <c r="H625">
        <v>0</v>
      </c>
      <c r="I625">
        <v>0</v>
      </c>
      <c r="J625" t="s">
        <v>843</v>
      </c>
    </row>
    <row r="626" spans="1:10" x14ac:dyDescent="0.3">
      <c r="A626" t="s">
        <v>125</v>
      </c>
      <c r="B626" s="14" t="s">
        <v>1098</v>
      </c>
      <c r="C626">
        <v>2790000</v>
      </c>
      <c r="D626">
        <v>6</v>
      </c>
      <c r="E626">
        <v>0</v>
      </c>
      <c r="F626">
        <v>1</v>
      </c>
      <c r="G626">
        <v>5</v>
      </c>
      <c r="H626">
        <v>0</v>
      </c>
      <c r="I626">
        <v>0</v>
      </c>
      <c r="J626" t="s">
        <v>843</v>
      </c>
    </row>
    <row r="627" spans="1:10" x14ac:dyDescent="0.3">
      <c r="A627" t="s">
        <v>125</v>
      </c>
      <c r="B627" s="14" t="s">
        <v>722</v>
      </c>
      <c r="C627">
        <v>600000</v>
      </c>
      <c r="D627">
        <v>1</v>
      </c>
      <c r="E627">
        <v>0</v>
      </c>
      <c r="F627">
        <v>0</v>
      </c>
      <c r="G627">
        <v>0</v>
      </c>
      <c r="H627">
        <v>0</v>
      </c>
      <c r="I627">
        <v>0</v>
      </c>
      <c r="J627" t="s">
        <v>843</v>
      </c>
    </row>
    <row r="628" spans="1:10" x14ac:dyDescent="0.3">
      <c r="A628" t="s">
        <v>125</v>
      </c>
      <c r="B628" s="14" t="s">
        <v>721</v>
      </c>
      <c r="C628">
        <v>600000</v>
      </c>
      <c r="D628">
        <v>1</v>
      </c>
      <c r="E628">
        <v>0</v>
      </c>
      <c r="F628">
        <v>0</v>
      </c>
      <c r="G628">
        <v>0</v>
      </c>
      <c r="H628">
        <v>0</v>
      </c>
      <c r="I628">
        <v>0</v>
      </c>
      <c r="J628" t="s">
        <v>843</v>
      </c>
    </row>
    <row r="629" spans="1:10" x14ac:dyDescent="0.3">
      <c r="A629" t="s">
        <v>125</v>
      </c>
      <c r="B629" s="14" t="s">
        <v>1099</v>
      </c>
      <c r="C629">
        <v>2890000</v>
      </c>
      <c r="D629">
        <v>1</v>
      </c>
      <c r="E629">
        <v>0</v>
      </c>
      <c r="F629">
        <v>1</v>
      </c>
      <c r="G629">
        <v>2</v>
      </c>
      <c r="H629">
        <v>0</v>
      </c>
      <c r="I629">
        <v>0</v>
      </c>
      <c r="J629" t="s">
        <v>843</v>
      </c>
    </row>
    <row r="630" spans="1:10" x14ac:dyDescent="0.3">
      <c r="A630" t="s">
        <v>125</v>
      </c>
      <c r="B630" s="14" t="s">
        <v>1100</v>
      </c>
      <c r="C630">
        <v>2200000</v>
      </c>
      <c r="D630">
        <v>1</v>
      </c>
      <c r="E630">
        <v>0</v>
      </c>
      <c r="F630">
        <v>0</v>
      </c>
      <c r="G630">
        <v>1</v>
      </c>
      <c r="H630">
        <v>0</v>
      </c>
      <c r="I630">
        <v>0</v>
      </c>
      <c r="J630" t="s">
        <v>843</v>
      </c>
    </row>
    <row r="631" spans="1:10" x14ac:dyDescent="0.3">
      <c r="A631" t="s">
        <v>125</v>
      </c>
      <c r="B631" s="14" t="s">
        <v>1100</v>
      </c>
      <c r="C631">
        <v>1500000</v>
      </c>
      <c r="D631">
        <v>2</v>
      </c>
      <c r="E631">
        <v>0</v>
      </c>
      <c r="F631">
        <v>1</v>
      </c>
      <c r="G631">
        <v>2</v>
      </c>
      <c r="H631">
        <v>0</v>
      </c>
      <c r="I631">
        <v>0</v>
      </c>
      <c r="J631" t="s">
        <v>843</v>
      </c>
    </row>
    <row r="632" spans="1:10" x14ac:dyDescent="0.3">
      <c r="A632" t="s">
        <v>125</v>
      </c>
      <c r="B632" s="14" t="s">
        <v>1100</v>
      </c>
      <c r="C632">
        <v>2400000</v>
      </c>
      <c r="D632">
        <v>1</v>
      </c>
      <c r="E632">
        <v>0</v>
      </c>
      <c r="F632">
        <v>0</v>
      </c>
      <c r="G632">
        <v>1</v>
      </c>
      <c r="H632">
        <v>0</v>
      </c>
      <c r="I632">
        <v>0</v>
      </c>
      <c r="J632" t="s">
        <v>843</v>
      </c>
    </row>
    <row r="633" spans="1:10" x14ac:dyDescent="0.3">
      <c r="A633" t="s">
        <v>125</v>
      </c>
      <c r="B633" s="14" t="s">
        <v>368</v>
      </c>
      <c r="C633">
        <v>2000000</v>
      </c>
      <c r="D633">
        <v>4</v>
      </c>
      <c r="E633">
        <v>0</v>
      </c>
      <c r="F633">
        <v>0</v>
      </c>
      <c r="G633">
        <v>1</v>
      </c>
      <c r="H633">
        <v>0</v>
      </c>
      <c r="I633">
        <v>0</v>
      </c>
      <c r="J633" t="s">
        <v>843</v>
      </c>
    </row>
    <row r="634" spans="1:10" x14ac:dyDescent="0.3">
      <c r="A634" t="s">
        <v>125</v>
      </c>
      <c r="B634" s="14" t="s">
        <v>723</v>
      </c>
      <c r="C634">
        <v>3400000</v>
      </c>
      <c r="D634">
        <v>0</v>
      </c>
      <c r="E634">
        <v>0</v>
      </c>
      <c r="F634">
        <v>0</v>
      </c>
      <c r="G634">
        <v>0</v>
      </c>
      <c r="H634">
        <v>0</v>
      </c>
      <c r="I634">
        <v>0</v>
      </c>
      <c r="J634" t="s">
        <v>848</v>
      </c>
    </row>
    <row r="635" spans="1:10" x14ac:dyDescent="0.3">
      <c r="A635" t="s">
        <v>125</v>
      </c>
      <c r="B635" s="14" t="s">
        <v>1101</v>
      </c>
      <c r="C635">
        <v>3390000</v>
      </c>
      <c r="D635">
        <v>1</v>
      </c>
      <c r="E635">
        <v>0</v>
      </c>
      <c r="F635">
        <v>0</v>
      </c>
      <c r="G635">
        <v>1</v>
      </c>
      <c r="H635">
        <v>0</v>
      </c>
      <c r="I635">
        <v>0</v>
      </c>
      <c r="J635" t="s">
        <v>843</v>
      </c>
    </row>
    <row r="636" spans="1:10" x14ac:dyDescent="0.3">
      <c r="A636" t="s">
        <v>125</v>
      </c>
      <c r="B636" s="14" t="s">
        <v>1102</v>
      </c>
      <c r="C636">
        <v>2500000</v>
      </c>
      <c r="D636">
        <v>0</v>
      </c>
      <c r="E636">
        <v>0</v>
      </c>
      <c r="F636">
        <v>0</v>
      </c>
      <c r="G636">
        <v>1</v>
      </c>
      <c r="H636">
        <v>0</v>
      </c>
      <c r="I636">
        <v>0</v>
      </c>
      <c r="J636" t="s">
        <v>848</v>
      </c>
    </row>
    <row r="637" spans="1:10" x14ac:dyDescent="0.3">
      <c r="A637" t="s">
        <v>125</v>
      </c>
      <c r="B637" s="14" t="s">
        <v>1102</v>
      </c>
      <c r="C637">
        <v>2800000</v>
      </c>
      <c r="D637">
        <v>2</v>
      </c>
      <c r="E637">
        <v>1</v>
      </c>
      <c r="F637">
        <v>1</v>
      </c>
      <c r="G637">
        <v>3</v>
      </c>
      <c r="H637">
        <v>0</v>
      </c>
      <c r="I637">
        <v>0</v>
      </c>
      <c r="J637" t="s">
        <v>843</v>
      </c>
    </row>
    <row r="638" spans="1:10" x14ac:dyDescent="0.3">
      <c r="A638" t="s">
        <v>125</v>
      </c>
      <c r="B638" s="14" t="s">
        <v>724</v>
      </c>
      <c r="C638">
        <v>2600000</v>
      </c>
      <c r="D638">
        <v>0</v>
      </c>
      <c r="E638">
        <v>0</v>
      </c>
      <c r="F638">
        <v>0</v>
      </c>
      <c r="G638">
        <v>0</v>
      </c>
      <c r="H638">
        <v>0</v>
      </c>
      <c r="I638">
        <v>0</v>
      </c>
      <c r="J638" t="s">
        <v>848</v>
      </c>
    </row>
    <row r="639" spans="1:10" x14ac:dyDescent="0.3">
      <c r="A639" t="s">
        <v>125</v>
      </c>
      <c r="B639" s="14" t="s">
        <v>1103</v>
      </c>
      <c r="C639">
        <v>4200000</v>
      </c>
      <c r="D639">
        <v>2</v>
      </c>
      <c r="E639">
        <v>0</v>
      </c>
      <c r="F639">
        <v>0</v>
      </c>
      <c r="G639">
        <v>0</v>
      </c>
      <c r="H639">
        <v>0</v>
      </c>
      <c r="I639">
        <v>0</v>
      </c>
      <c r="J639" t="s">
        <v>843</v>
      </c>
    </row>
    <row r="640" spans="1:10" x14ac:dyDescent="0.3">
      <c r="A640" t="s">
        <v>125</v>
      </c>
      <c r="B640" s="14" t="s">
        <v>1103</v>
      </c>
      <c r="C640">
        <v>2300000</v>
      </c>
      <c r="D640">
        <v>0</v>
      </c>
      <c r="E640">
        <v>0</v>
      </c>
      <c r="F640">
        <v>0</v>
      </c>
      <c r="G640">
        <v>1</v>
      </c>
      <c r="H640">
        <v>0</v>
      </c>
      <c r="I640">
        <v>0</v>
      </c>
      <c r="J640" t="s">
        <v>848</v>
      </c>
    </row>
    <row r="641" spans="1:10" x14ac:dyDescent="0.3">
      <c r="A641" t="s">
        <v>125</v>
      </c>
      <c r="B641" s="14" t="s">
        <v>1104</v>
      </c>
      <c r="C641">
        <v>1600000</v>
      </c>
      <c r="D641">
        <v>5</v>
      </c>
      <c r="E641">
        <v>0</v>
      </c>
      <c r="F641">
        <v>0</v>
      </c>
      <c r="G641">
        <v>0</v>
      </c>
      <c r="H641">
        <v>0</v>
      </c>
      <c r="I641">
        <v>0</v>
      </c>
      <c r="J641" t="s">
        <v>843</v>
      </c>
    </row>
    <row r="642" spans="1:10" x14ac:dyDescent="0.3">
      <c r="A642" t="s">
        <v>125</v>
      </c>
      <c r="B642" s="14" t="s">
        <v>726</v>
      </c>
      <c r="C642">
        <v>1400000</v>
      </c>
      <c r="D642">
        <v>2</v>
      </c>
      <c r="E642">
        <v>0</v>
      </c>
      <c r="F642">
        <v>0</v>
      </c>
      <c r="G642">
        <v>0</v>
      </c>
      <c r="H642">
        <v>0</v>
      </c>
      <c r="I642">
        <v>0</v>
      </c>
      <c r="J642" t="s">
        <v>843</v>
      </c>
    </row>
    <row r="643" spans="1:10" x14ac:dyDescent="0.3">
      <c r="A643" t="s">
        <v>125</v>
      </c>
      <c r="B643" s="14" t="s">
        <v>1105</v>
      </c>
      <c r="C643">
        <v>1190000</v>
      </c>
      <c r="D643">
        <v>4</v>
      </c>
      <c r="E643">
        <v>0</v>
      </c>
      <c r="F643">
        <v>2</v>
      </c>
      <c r="G643">
        <v>2</v>
      </c>
      <c r="H643">
        <v>0</v>
      </c>
      <c r="I643">
        <v>0</v>
      </c>
      <c r="J643" t="s">
        <v>843</v>
      </c>
    </row>
    <row r="644" spans="1:10" x14ac:dyDescent="0.3">
      <c r="A644" t="s">
        <v>121</v>
      </c>
      <c r="B644" s="14" t="s">
        <v>44</v>
      </c>
      <c r="C644">
        <v>2100000</v>
      </c>
      <c r="D644">
        <v>2</v>
      </c>
      <c r="E644">
        <v>0</v>
      </c>
      <c r="F644">
        <v>0</v>
      </c>
      <c r="G644">
        <v>0</v>
      </c>
      <c r="H644">
        <v>0</v>
      </c>
      <c r="I644">
        <v>0</v>
      </c>
      <c r="J644" t="s">
        <v>843</v>
      </c>
    </row>
    <row r="645" spans="1:10" x14ac:dyDescent="0.3">
      <c r="A645" t="s">
        <v>121</v>
      </c>
      <c r="B645" s="14" t="s">
        <v>63</v>
      </c>
      <c r="C645">
        <v>2990000</v>
      </c>
      <c r="D645">
        <v>0</v>
      </c>
      <c r="E645">
        <v>0</v>
      </c>
      <c r="F645">
        <v>0</v>
      </c>
      <c r="G645">
        <v>0</v>
      </c>
      <c r="H645">
        <v>0</v>
      </c>
      <c r="I645">
        <v>0</v>
      </c>
      <c r="J645" t="s">
        <v>848</v>
      </c>
    </row>
    <row r="646" spans="1:10" x14ac:dyDescent="0.3">
      <c r="A646" t="s">
        <v>121</v>
      </c>
      <c r="B646" s="14" t="s">
        <v>727</v>
      </c>
      <c r="C646">
        <v>2990000</v>
      </c>
      <c r="D646">
        <v>1</v>
      </c>
      <c r="E646">
        <v>0</v>
      </c>
      <c r="F646">
        <v>0</v>
      </c>
      <c r="G646">
        <v>0</v>
      </c>
      <c r="H646">
        <v>0</v>
      </c>
      <c r="I646">
        <v>0</v>
      </c>
      <c r="J646" t="s">
        <v>843</v>
      </c>
    </row>
    <row r="647" spans="1:10" x14ac:dyDescent="0.3">
      <c r="A647" t="s">
        <v>121</v>
      </c>
      <c r="B647" s="14" t="s">
        <v>1106</v>
      </c>
      <c r="C647">
        <v>3690000</v>
      </c>
      <c r="D647">
        <v>3</v>
      </c>
      <c r="E647">
        <v>0</v>
      </c>
      <c r="F647">
        <v>0</v>
      </c>
      <c r="G647">
        <v>0</v>
      </c>
      <c r="H647">
        <v>0</v>
      </c>
      <c r="I647">
        <v>0</v>
      </c>
      <c r="J647" t="s">
        <v>843</v>
      </c>
    </row>
    <row r="648" spans="1:10" x14ac:dyDescent="0.3">
      <c r="A648" t="s">
        <v>121</v>
      </c>
      <c r="B648" s="14" t="s">
        <v>728</v>
      </c>
      <c r="D648">
        <v>1</v>
      </c>
      <c r="E648">
        <v>0</v>
      </c>
      <c r="F648">
        <v>0</v>
      </c>
      <c r="G648">
        <v>0</v>
      </c>
      <c r="H648">
        <v>0</v>
      </c>
      <c r="I648">
        <v>0</v>
      </c>
      <c r="J648" t="s">
        <v>843</v>
      </c>
    </row>
    <row r="649" spans="1:10" x14ac:dyDescent="0.3">
      <c r="A649" t="s">
        <v>121</v>
      </c>
      <c r="B649" s="14" t="s">
        <v>1107</v>
      </c>
      <c r="C649">
        <v>3990000</v>
      </c>
      <c r="D649">
        <v>3</v>
      </c>
      <c r="E649">
        <v>0</v>
      </c>
      <c r="F649">
        <v>1</v>
      </c>
      <c r="G649">
        <v>2</v>
      </c>
      <c r="H649">
        <v>0</v>
      </c>
      <c r="I649">
        <v>0</v>
      </c>
      <c r="J649" t="s">
        <v>843</v>
      </c>
    </row>
    <row r="650" spans="1:10" x14ac:dyDescent="0.3">
      <c r="A650" t="s">
        <v>121</v>
      </c>
      <c r="B650" s="14" t="s">
        <v>1108</v>
      </c>
      <c r="D650">
        <v>1</v>
      </c>
      <c r="E650">
        <v>0</v>
      </c>
      <c r="F650">
        <v>0</v>
      </c>
      <c r="G650">
        <v>0</v>
      </c>
      <c r="H650">
        <v>0</v>
      </c>
      <c r="I650">
        <v>0</v>
      </c>
      <c r="J650" t="s">
        <v>843</v>
      </c>
    </row>
    <row r="651" spans="1:10" x14ac:dyDescent="0.3">
      <c r="A651" t="s">
        <v>121</v>
      </c>
      <c r="B651" s="14" t="s">
        <v>1109</v>
      </c>
      <c r="C651">
        <v>4590000</v>
      </c>
      <c r="D651">
        <v>4</v>
      </c>
      <c r="E651">
        <v>0</v>
      </c>
      <c r="F651">
        <v>0</v>
      </c>
      <c r="G651">
        <v>0</v>
      </c>
      <c r="H651">
        <v>0</v>
      </c>
      <c r="I651">
        <v>0</v>
      </c>
      <c r="J651" t="s">
        <v>843</v>
      </c>
    </row>
    <row r="652" spans="1:10" x14ac:dyDescent="0.3">
      <c r="A652" t="s">
        <v>121</v>
      </c>
      <c r="B652" s="14" t="s">
        <v>1110</v>
      </c>
      <c r="C652">
        <v>5000000</v>
      </c>
      <c r="D652">
        <v>1</v>
      </c>
      <c r="E652">
        <v>0</v>
      </c>
      <c r="F652">
        <v>0</v>
      </c>
      <c r="G652">
        <v>0</v>
      </c>
      <c r="H652">
        <v>0</v>
      </c>
      <c r="I652">
        <v>0</v>
      </c>
      <c r="J652" t="s">
        <v>843</v>
      </c>
    </row>
    <row r="653" spans="1:10" x14ac:dyDescent="0.3">
      <c r="A653" t="s">
        <v>121</v>
      </c>
      <c r="B653" s="14" t="s">
        <v>370</v>
      </c>
      <c r="C653">
        <v>3800000</v>
      </c>
      <c r="D653">
        <v>0</v>
      </c>
      <c r="E653">
        <v>0</v>
      </c>
      <c r="F653">
        <v>0</v>
      </c>
      <c r="G653">
        <v>0</v>
      </c>
      <c r="H653">
        <v>0</v>
      </c>
      <c r="I653">
        <v>0</v>
      </c>
      <c r="J653" t="s">
        <v>848</v>
      </c>
    </row>
    <row r="654" spans="1:10" x14ac:dyDescent="0.3">
      <c r="A654" t="s">
        <v>121</v>
      </c>
      <c r="B654" s="14" t="s">
        <v>1111</v>
      </c>
      <c r="C654">
        <v>5090000</v>
      </c>
      <c r="D654">
        <v>0</v>
      </c>
      <c r="E654">
        <v>1</v>
      </c>
      <c r="F654">
        <v>1</v>
      </c>
      <c r="G654">
        <v>3</v>
      </c>
      <c r="H654">
        <v>0</v>
      </c>
      <c r="I654">
        <v>0</v>
      </c>
      <c r="J654" t="s">
        <v>848</v>
      </c>
    </row>
    <row r="655" spans="1:10" x14ac:dyDescent="0.3">
      <c r="A655" t="s">
        <v>121</v>
      </c>
      <c r="B655" s="14" t="s">
        <v>729</v>
      </c>
      <c r="D655">
        <v>1</v>
      </c>
      <c r="E655">
        <v>0</v>
      </c>
      <c r="F655">
        <v>0</v>
      </c>
      <c r="G655">
        <v>0</v>
      </c>
      <c r="H655">
        <v>0</v>
      </c>
      <c r="I655">
        <v>0</v>
      </c>
      <c r="J655" t="s">
        <v>843</v>
      </c>
    </row>
    <row r="656" spans="1:10" x14ac:dyDescent="0.3">
      <c r="A656" t="s">
        <v>121</v>
      </c>
      <c r="B656" s="14" t="s">
        <v>1112</v>
      </c>
      <c r="C656">
        <v>4800000</v>
      </c>
      <c r="D656">
        <v>0</v>
      </c>
      <c r="E656">
        <v>0</v>
      </c>
      <c r="F656">
        <v>0</v>
      </c>
      <c r="G656">
        <v>0</v>
      </c>
      <c r="H656">
        <v>0</v>
      </c>
      <c r="I656">
        <v>0</v>
      </c>
      <c r="J656" t="s">
        <v>848</v>
      </c>
    </row>
    <row r="657" spans="1:10" x14ac:dyDescent="0.3">
      <c r="A657" t="s">
        <v>121</v>
      </c>
      <c r="B657" s="14" t="s">
        <v>1113</v>
      </c>
      <c r="C657">
        <v>16790000</v>
      </c>
      <c r="D657">
        <v>0</v>
      </c>
      <c r="E657">
        <v>0</v>
      </c>
      <c r="F657">
        <v>0</v>
      </c>
      <c r="G657">
        <v>1</v>
      </c>
      <c r="H657">
        <v>0</v>
      </c>
      <c r="I657">
        <v>0</v>
      </c>
      <c r="J657" t="s">
        <v>848</v>
      </c>
    </row>
    <row r="658" spans="1:10" x14ac:dyDescent="0.3">
      <c r="A658" t="s">
        <v>121</v>
      </c>
      <c r="B658" s="14" t="s">
        <v>1114</v>
      </c>
      <c r="C658">
        <v>6190000</v>
      </c>
      <c r="D658">
        <v>1</v>
      </c>
      <c r="E658">
        <v>-1</v>
      </c>
      <c r="F658">
        <v>0</v>
      </c>
      <c r="G658">
        <v>1</v>
      </c>
      <c r="H658">
        <v>0</v>
      </c>
      <c r="I658">
        <v>0</v>
      </c>
      <c r="J658" t="s">
        <v>843</v>
      </c>
    </row>
    <row r="659" spans="1:10" x14ac:dyDescent="0.3">
      <c r="A659" t="s">
        <v>121</v>
      </c>
      <c r="B659" s="14" t="s">
        <v>1115</v>
      </c>
      <c r="C659">
        <v>4600000</v>
      </c>
      <c r="D659">
        <v>14</v>
      </c>
      <c r="E659">
        <v>3</v>
      </c>
      <c r="F659">
        <v>3</v>
      </c>
      <c r="G659">
        <v>3</v>
      </c>
      <c r="H659">
        <v>0</v>
      </c>
      <c r="I659">
        <v>0</v>
      </c>
      <c r="J659" t="s">
        <v>843</v>
      </c>
    </row>
    <row r="660" spans="1:10" x14ac:dyDescent="0.3">
      <c r="A660" t="s">
        <v>121</v>
      </c>
      <c r="B660" s="14" t="s">
        <v>372</v>
      </c>
      <c r="C660">
        <v>4000000</v>
      </c>
      <c r="D660">
        <v>0</v>
      </c>
      <c r="E660">
        <v>0</v>
      </c>
      <c r="F660">
        <v>0</v>
      </c>
      <c r="G660">
        <v>0</v>
      </c>
      <c r="H660">
        <v>0</v>
      </c>
      <c r="I660">
        <v>0</v>
      </c>
      <c r="J660" t="s">
        <v>848</v>
      </c>
    </row>
    <row r="661" spans="1:10" x14ac:dyDescent="0.3">
      <c r="A661" t="s">
        <v>121</v>
      </c>
      <c r="B661" s="14" t="s">
        <v>1116</v>
      </c>
      <c r="C661">
        <v>6590000</v>
      </c>
      <c r="D661">
        <v>10</v>
      </c>
      <c r="E661">
        <v>0</v>
      </c>
      <c r="F661">
        <v>2</v>
      </c>
      <c r="G661">
        <v>4</v>
      </c>
      <c r="H661">
        <v>0</v>
      </c>
      <c r="I661">
        <v>0</v>
      </c>
      <c r="J661" t="s">
        <v>843</v>
      </c>
    </row>
    <row r="662" spans="1:10" x14ac:dyDescent="0.3">
      <c r="A662" t="s">
        <v>121</v>
      </c>
      <c r="B662" s="14" t="s">
        <v>1117</v>
      </c>
      <c r="C662">
        <v>10090000</v>
      </c>
      <c r="D662">
        <v>0</v>
      </c>
      <c r="E662">
        <v>0</v>
      </c>
      <c r="F662">
        <v>0</v>
      </c>
      <c r="G662">
        <v>1</v>
      </c>
      <c r="H662">
        <v>0</v>
      </c>
      <c r="I662">
        <v>0</v>
      </c>
      <c r="J662" t="s">
        <v>848</v>
      </c>
    </row>
    <row r="663" spans="1:10" x14ac:dyDescent="0.3">
      <c r="A663" t="s">
        <v>121</v>
      </c>
      <c r="B663" s="14" t="s">
        <v>730</v>
      </c>
      <c r="C663">
        <v>5800000</v>
      </c>
      <c r="D663">
        <v>1</v>
      </c>
      <c r="E663">
        <v>0</v>
      </c>
      <c r="F663">
        <v>0</v>
      </c>
      <c r="G663">
        <v>0</v>
      </c>
      <c r="H663">
        <v>0</v>
      </c>
      <c r="I663">
        <v>0</v>
      </c>
      <c r="J663" t="s">
        <v>843</v>
      </c>
    </row>
    <row r="664" spans="1:10" x14ac:dyDescent="0.3">
      <c r="A664" t="s">
        <v>121</v>
      </c>
      <c r="B664" s="14" t="s">
        <v>1118</v>
      </c>
      <c r="C664">
        <v>5000000</v>
      </c>
      <c r="D664">
        <v>1</v>
      </c>
      <c r="E664">
        <v>0</v>
      </c>
      <c r="F664">
        <v>0</v>
      </c>
      <c r="G664">
        <v>0</v>
      </c>
      <c r="H664">
        <v>0</v>
      </c>
      <c r="I664">
        <v>0</v>
      </c>
      <c r="J664" t="s">
        <v>843</v>
      </c>
    </row>
    <row r="665" spans="1:10" x14ac:dyDescent="0.3">
      <c r="A665" t="s">
        <v>142</v>
      </c>
      <c r="B665" s="14" t="s">
        <v>222</v>
      </c>
      <c r="C665">
        <v>9750000</v>
      </c>
      <c r="D665">
        <v>0</v>
      </c>
      <c r="E665">
        <v>0</v>
      </c>
      <c r="F665">
        <v>1</v>
      </c>
      <c r="G665">
        <v>2</v>
      </c>
      <c r="H665">
        <v>0</v>
      </c>
      <c r="I665">
        <v>0</v>
      </c>
      <c r="J665" t="s">
        <v>848</v>
      </c>
    </row>
    <row r="666" spans="1:10" x14ac:dyDescent="0.3">
      <c r="A666" t="s">
        <v>175</v>
      </c>
      <c r="B666" s="14" t="s">
        <v>373</v>
      </c>
      <c r="C666">
        <v>1600000</v>
      </c>
      <c r="D666">
        <v>0</v>
      </c>
      <c r="E666">
        <v>0</v>
      </c>
      <c r="F666">
        <v>0</v>
      </c>
      <c r="G666">
        <v>0</v>
      </c>
      <c r="H666">
        <v>0</v>
      </c>
      <c r="I666">
        <v>0</v>
      </c>
      <c r="J666" t="s">
        <v>848</v>
      </c>
    </row>
    <row r="667" spans="1:10" x14ac:dyDescent="0.3">
      <c r="A667" t="s">
        <v>175</v>
      </c>
      <c r="B667" s="14" t="s">
        <v>1119</v>
      </c>
      <c r="C667">
        <v>3290000</v>
      </c>
      <c r="D667">
        <v>2</v>
      </c>
      <c r="E667">
        <v>0</v>
      </c>
      <c r="F667">
        <v>1</v>
      </c>
      <c r="G667">
        <v>2</v>
      </c>
      <c r="H667">
        <v>0</v>
      </c>
      <c r="I667">
        <v>0</v>
      </c>
      <c r="J667" t="s">
        <v>843</v>
      </c>
    </row>
    <row r="668" spans="1:10" x14ac:dyDescent="0.3">
      <c r="A668" t="s">
        <v>175</v>
      </c>
      <c r="B668" s="14" t="s">
        <v>1120</v>
      </c>
      <c r="C668">
        <v>1300000</v>
      </c>
      <c r="D668">
        <v>0</v>
      </c>
      <c r="E668">
        <v>0</v>
      </c>
      <c r="F668">
        <v>1</v>
      </c>
      <c r="G668">
        <v>1</v>
      </c>
      <c r="H668">
        <v>0</v>
      </c>
      <c r="I668">
        <v>0</v>
      </c>
      <c r="J668" t="s">
        <v>848</v>
      </c>
    </row>
    <row r="669" spans="1:10" x14ac:dyDescent="0.3">
      <c r="A669" t="s">
        <v>175</v>
      </c>
      <c r="B669" s="14" t="s">
        <v>1120</v>
      </c>
      <c r="C669">
        <v>1600000</v>
      </c>
      <c r="D669">
        <v>0</v>
      </c>
      <c r="E669">
        <v>0</v>
      </c>
      <c r="F669">
        <v>0</v>
      </c>
      <c r="G669">
        <v>0</v>
      </c>
      <c r="H669">
        <v>0</v>
      </c>
      <c r="I669">
        <v>0</v>
      </c>
      <c r="J669" t="s">
        <v>848</v>
      </c>
    </row>
    <row r="670" spans="1:10" x14ac:dyDescent="0.3">
      <c r="A670" t="s">
        <v>175</v>
      </c>
      <c r="B670" s="14" t="s">
        <v>1120</v>
      </c>
      <c r="C670">
        <v>2500000</v>
      </c>
      <c r="D670">
        <v>0</v>
      </c>
      <c r="E670">
        <v>0</v>
      </c>
      <c r="F670">
        <v>0</v>
      </c>
      <c r="G670">
        <v>0</v>
      </c>
      <c r="H670">
        <v>0</v>
      </c>
      <c r="I670">
        <v>0</v>
      </c>
      <c r="J670" t="s">
        <v>848</v>
      </c>
    </row>
    <row r="671" spans="1:10" x14ac:dyDescent="0.3">
      <c r="A671" t="s">
        <v>175</v>
      </c>
      <c r="B671" s="14" t="s">
        <v>1120</v>
      </c>
      <c r="C671">
        <v>1200000</v>
      </c>
      <c r="D671">
        <v>0</v>
      </c>
      <c r="E671">
        <v>0</v>
      </c>
      <c r="F671">
        <v>0</v>
      </c>
      <c r="G671">
        <v>0</v>
      </c>
      <c r="H671">
        <v>0</v>
      </c>
      <c r="I671">
        <v>0</v>
      </c>
      <c r="J671" t="s">
        <v>848</v>
      </c>
    </row>
    <row r="672" spans="1:10" x14ac:dyDescent="0.3">
      <c r="A672" t="s">
        <v>175</v>
      </c>
      <c r="B672" s="14" t="s">
        <v>374</v>
      </c>
      <c r="C672">
        <v>1800000</v>
      </c>
      <c r="D672">
        <v>0</v>
      </c>
      <c r="E672">
        <v>0</v>
      </c>
      <c r="F672">
        <v>0</v>
      </c>
      <c r="G672">
        <v>0</v>
      </c>
      <c r="H672">
        <v>0</v>
      </c>
      <c r="I672">
        <v>0</v>
      </c>
      <c r="J672" t="s">
        <v>848</v>
      </c>
    </row>
    <row r="673" spans="1:10" x14ac:dyDescent="0.3">
      <c r="A673" t="s">
        <v>175</v>
      </c>
      <c r="B673" s="14" t="s">
        <v>375</v>
      </c>
      <c r="C673">
        <v>1900000</v>
      </c>
      <c r="D673">
        <v>0</v>
      </c>
      <c r="E673">
        <v>0</v>
      </c>
      <c r="F673">
        <v>0</v>
      </c>
      <c r="G673">
        <v>0</v>
      </c>
      <c r="H673">
        <v>0</v>
      </c>
      <c r="I673">
        <v>0</v>
      </c>
      <c r="J673" t="s">
        <v>848</v>
      </c>
    </row>
    <row r="674" spans="1:10" x14ac:dyDescent="0.3">
      <c r="A674" t="s">
        <v>175</v>
      </c>
      <c r="B674" s="14" t="s">
        <v>1121</v>
      </c>
      <c r="C674">
        <v>2400000</v>
      </c>
      <c r="D674">
        <v>1</v>
      </c>
      <c r="E674">
        <v>0</v>
      </c>
      <c r="F674">
        <v>0</v>
      </c>
      <c r="G674">
        <v>0</v>
      </c>
      <c r="H674">
        <v>0</v>
      </c>
      <c r="I674">
        <v>0</v>
      </c>
      <c r="J674" t="s">
        <v>843</v>
      </c>
    </row>
    <row r="675" spans="1:10" x14ac:dyDescent="0.3">
      <c r="A675" t="s">
        <v>175</v>
      </c>
      <c r="B675" s="14" t="s">
        <v>1122</v>
      </c>
      <c r="C675">
        <v>3200000</v>
      </c>
      <c r="D675">
        <v>2</v>
      </c>
      <c r="E675">
        <v>0</v>
      </c>
      <c r="F675">
        <v>0</v>
      </c>
      <c r="G675">
        <v>1</v>
      </c>
      <c r="H675">
        <v>0</v>
      </c>
      <c r="I675">
        <v>0</v>
      </c>
      <c r="J675" t="s">
        <v>843</v>
      </c>
    </row>
    <row r="676" spans="1:10" x14ac:dyDescent="0.3">
      <c r="A676" t="s">
        <v>175</v>
      </c>
      <c r="B676" s="14" t="s">
        <v>1123</v>
      </c>
      <c r="C676">
        <v>5290000</v>
      </c>
      <c r="D676">
        <v>1</v>
      </c>
      <c r="E676">
        <v>0</v>
      </c>
      <c r="F676">
        <v>0</v>
      </c>
      <c r="G676">
        <v>0</v>
      </c>
      <c r="H676">
        <v>0</v>
      </c>
      <c r="I676">
        <v>0</v>
      </c>
      <c r="J676" t="s">
        <v>843</v>
      </c>
    </row>
    <row r="677" spans="1:10" x14ac:dyDescent="0.3">
      <c r="A677" t="s">
        <v>175</v>
      </c>
      <c r="B677" s="14" t="s">
        <v>1124</v>
      </c>
      <c r="C677">
        <v>4300000</v>
      </c>
      <c r="D677">
        <v>1</v>
      </c>
      <c r="E677">
        <v>0</v>
      </c>
      <c r="F677">
        <v>0</v>
      </c>
      <c r="G677">
        <v>0</v>
      </c>
      <c r="H677">
        <v>0</v>
      </c>
      <c r="I677">
        <v>0</v>
      </c>
      <c r="J677" t="s">
        <v>843</v>
      </c>
    </row>
    <row r="678" spans="1:10" x14ac:dyDescent="0.3">
      <c r="A678" t="s">
        <v>175</v>
      </c>
      <c r="B678" s="14" t="s">
        <v>1125</v>
      </c>
      <c r="C678">
        <v>2400000</v>
      </c>
      <c r="D678">
        <v>0</v>
      </c>
      <c r="E678">
        <v>0</v>
      </c>
      <c r="F678">
        <v>0</v>
      </c>
      <c r="G678">
        <v>0</v>
      </c>
      <c r="H678">
        <v>0</v>
      </c>
      <c r="I678">
        <v>0</v>
      </c>
      <c r="J678" t="s">
        <v>848</v>
      </c>
    </row>
    <row r="679" spans="1:10" x14ac:dyDescent="0.3">
      <c r="A679" t="s">
        <v>175</v>
      </c>
      <c r="B679" s="14" t="s">
        <v>1125</v>
      </c>
      <c r="C679">
        <v>3600000</v>
      </c>
      <c r="D679">
        <v>1</v>
      </c>
      <c r="E679">
        <v>0</v>
      </c>
      <c r="F679">
        <v>0</v>
      </c>
      <c r="G679">
        <v>2</v>
      </c>
      <c r="H679">
        <v>0</v>
      </c>
      <c r="I679">
        <v>0</v>
      </c>
      <c r="J679" t="s">
        <v>843</v>
      </c>
    </row>
    <row r="680" spans="1:10" x14ac:dyDescent="0.3">
      <c r="A680" t="s">
        <v>175</v>
      </c>
      <c r="B680" s="14" t="s">
        <v>1126</v>
      </c>
      <c r="C680">
        <v>2990000</v>
      </c>
      <c r="D680">
        <v>3</v>
      </c>
      <c r="E680">
        <v>0</v>
      </c>
      <c r="F680">
        <v>0</v>
      </c>
      <c r="G680">
        <v>1</v>
      </c>
      <c r="H680">
        <v>0</v>
      </c>
      <c r="I680">
        <v>0</v>
      </c>
      <c r="J680" t="s">
        <v>843</v>
      </c>
    </row>
    <row r="681" spans="1:10" x14ac:dyDescent="0.3">
      <c r="A681" t="s">
        <v>175</v>
      </c>
      <c r="B681" s="14" t="s">
        <v>1127</v>
      </c>
      <c r="C681">
        <v>2690000</v>
      </c>
      <c r="D681">
        <v>0</v>
      </c>
      <c r="E681">
        <v>0</v>
      </c>
      <c r="F681">
        <v>0</v>
      </c>
      <c r="G681">
        <v>0</v>
      </c>
      <c r="H681">
        <v>0</v>
      </c>
      <c r="I681">
        <v>0</v>
      </c>
      <c r="J681" t="s">
        <v>848</v>
      </c>
    </row>
    <row r="682" spans="1:10" x14ac:dyDescent="0.3">
      <c r="A682" t="s">
        <v>175</v>
      </c>
      <c r="B682" s="14" t="s">
        <v>1128</v>
      </c>
      <c r="C682">
        <v>3890000</v>
      </c>
      <c r="D682">
        <v>1</v>
      </c>
      <c r="E682">
        <v>0</v>
      </c>
      <c r="F682">
        <v>0</v>
      </c>
      <c r="G682">
        <v>1</v>
      </c>
      <c r="H682">
        <v>0</v>
      </c>
      <c r="I682">
        <v>0</v>
      </c>
      <c r="J682" t="s">
        <v>843</v>
      </c>
    </row>
    <row r="683" spans="1:10" x14ac:dyDescent="0.3">
      <c r="A683" t="s">
        <v>175</v>
      </c>
      <c r="B683" s="14" t="s">
        <v>1129</v>
      </c>
      <c r="C683">
        <v>4990000</v>
      </c>
      <c r="D683">
        <v>8</v>
      </c>
      <c r="E683">
        <v>0</v>
      </c>
      <c r="F683">
        <v>0</v>
      </c>
      <c r="G683">
        <v>0</v>
      </c>
      <c r="H683">
        <v>0</v>
      </c>
      <c r="I683">
        <v>0</v>
      </c>
      <c r="J683" t="s">
        <v>843</v>
      </c>
    </row>
    <row r="684" spans="1:10" x14ac:dyDescent="0.3">
      <c r="A684" t="s">
        <v>175</v>
      </c>
      <c r="B684" s="14" t="s">
        <v>735</v>
      </c>
      <c r="C684">
        <v>4200000</v>
      </c>
      <c r="D684">
        <v>1</v>
      </c>
      <c r="E684">
        <v>0</v>
      </c>
      <c r="F684">
        <v>0</v>
      </c>
      <c r="G684">
        <v>0</v>
      </c>
      <c r="H684">
        <v>0</v>
      </c>
      <c r="I684">
        <v>0</v>
      </c>
      <c r="J684" t="s">
        <v>843</v>
      </c>
    </row>
    <row r="685" spans="1:10" x14ac:dyDescent="0.3">
      <c r="A685" t="s">
        <v>175</v>
      </c>
      <c r="B685" s="14" t="s">
        <v>1130</v>
      </c>
      <c r="C685">
        <v>5500000</v>
      </c>
      <c r="D685">
        <v>1</v>
      </c>
      <c r="E685">
        <v>0</v>
      </c>
      <c r="F685">
        <v>0</v>
      </c>
      <c r="G685">
        <v>0</v>
      </c>
      <c r="H685">
        <v>0</v>
      </c>
      <c r="I685">
        <v>0</v>
      </c>
      <c r="J685" t="s">
        <v>843</v>
      </c>
    </row>
    <row r="686" spans="1:10" x14ac:dyDescent="0.3">
      <c r="A686" t="s">
        <v>175</v>
      </c>
      <c r="B686" s="14" t="s">
        <v>1131</v>
      </c>
      <c r="C686">
        <v>6490000</v>
      </c>
      <c r="D686">
        <v>0</v>
      </c>
      <c r="E686">
        <v>0</v>
      </c>
      <c r="F686">
        <v>0</v>
      </c>
      <c r="G686">
        <v>0</v>
      </c>
      <c r="H686">
        <v>0</v>
      </c>
      <c r="I686">
        <v>0</v>
      </c>
      <c r="J686" t="s">
        <v>848</v>
      </c>
    </row>
    <row r="687" spans="1:10" x14ac:dyDescent="0.3">
      <c r="A687" t="s">
        <v>175</v>
      </c>
      <c r="B687" s="14" t="s">
        <v>377</v>
      </c>
      <c r="C687">
        <v>3200000</v>
      </c>
      <c r="D687">
        <v>0</v>
      </c>
      <c r="E687">
        <v>0</v>
      </c>
      <c r="F687">
        <v>0</v>
      </c>
      <c r="G687">
        <v>0</v>
      </c>
      <c r="H687">
        <v>0</v>
      </c>
      <c r="I687">
        <v>0</v>
      </c>
      <c r="J687" t="s">
        <v>848</v>
      </c>
    </row>
    <row r="688" spans="1:10" x14ac:dyDescent="0.3">
      <c r="A688" t="s">
        <v>175</v>
      </c>
      <c r="B688" s="14" t="s">
        <v>1132</v>
      </c>
      <c r="C688">
        <v>3990000</v>
      </c>
      <c r="D688">
        <v>6</v>
      </c>
      <c r="E688">
        <v>0</v>
      </c>
      <c r="F688">
        <v>0</v>
      </c>
      <c r="G688">
        <v>0</v>
      </c>
      <c r="H688">
        <v>0</v>
      </c>
      <c r="I688">
        <v>0</v>
      </c>
      <c r="J688" t="s">
        <v>843</v>
      </c>
    </row>
    <row r="689" spans="1:10" x14ac:dyDescent="0.3">
      <c r="A689" t="s">
        <v>175</v>
      </c>
      <c r="B689" s="14" t="s">
        <v>1133</v>
      </c>
      <c r="C689">
        <v>3990000</v>
      </c>
      <c r="D689">
        <v>8</v>
      </c>
      <c r="E689">
        <v>0</v>
      </c>
      <c r="F689">
        <v>0</v>
      </c>
      <c r="G689">
        <v>0</v>
      </c>
      <c r="H689">
        <v>0</v>
      </c>
      <c r="I689">
        <v>0</v>
      </c>
      <c r="J689" t="s">
        <v>843</v>
      </c>
    </row>
    <row r="690" spans="1:10" x14ac:dyDescent="0.3">
      <c r="A690" t="s">
        <v>175</v>
      </c>
      <c r="B690" s="14" t="s">
        <v>1134</v>
      </c>
      <c r="C690">
        <v>1690000</v>
      </c>
      <c r="D690">
        <v>0</v>
      </c>
      <c r="E690">
        <v>0</v>
      </c>
      <c r="F690">
        <v>1</v>
      </c>
      <c r="G690">
        <v>1</v>
      </c>
      <c r="H690">
        <v>0</v>
      </c>
      <c r="I690">
        <v>0</v>
      </c>
      <c r="J690" t="s">
        <v>848</v>
      </c>
    </row>
    <row r="691" spans="1:10" x14ac:dyDescent="0.3">
      <c r="A691" t="s">
        <v>175</v>
      </c>
      <c r="B691" s="14" t="s">
        <v>1135</v>
      </c>
      <c r="C691">
        <v>2450000</v>
      </c>
      <c r="D691">
        <v>1</v>
      </c>
      <c r="E691">
        <v>1</v>
      </c>
      <c r="F691">
        <v>1</v>
      </c>
      <c r="G691">
        <v>2</v>
      </c>
      <c r="H691">
        <v>0</v>
      </c>
      <c r="I691">
        <v>0</v>
      </c>
      <c r="J691" t="s">
        <v>843</v>
      </c>
    </row>
    <row r="692" spans="1:10" x14ac:dyDescent="0.3">
      <c r="A692" t="s">
        <v>175</v>
      </c>
      <c r="B692" s="14" t="s">
        <v>1136</v>
      </c>
      <c r="C692">
        <v>2190000</v>
      </c>
      <c r="D692">
        <v>0</v>
      </c>
      <c r="E692">
        <v>0</v>
      </c>
      <c r="F692">
        <v>0</v>
      </c>
      <c r="G692">
        <v>1</v>
      </c>
      <c r="H692">
        <v>0</v>
      </c>
      <c r="I692">
        <v>0</v>
      </c>
      <c r="J692" t="s">
        <v>848</v>
      </c>
    </row>
    <row r="693" spans="1:10" x14ac:dyDescent="0.3">
      <c r="A693" t="s">
        <v>175</v>
      </c>
      <c r="B693" s="14" t="s">
        <v>1137</v>
      </c>
      <c r="C693">
        <v>6290000</v>
      </c>
      <c r="D693">
        <v>4</v>
      </c>
      <c r="E693">
        <v>1</v>
      </c>
      <c r="F693">
        <v>1</v>
      </c>
      <c r="G693">
        <v>1</v>
      </c>
      <c r="H693">
        <v>0</v>
      </c>
      <c r="I693">
        <v>0</v>
      </c>
      <c r="J693" t="s">
        <v>843</v>
      </c>
    </row>
    <row r="694" spans="1:10" x14ac:dyDescent="0.3">
      <c r="A694" t="s">
        <v>142</v>
      </c>
      <c r="B694" s="14" t="s">
        <v>791</v>
      </c>
      <c r="C694">
        <v>1300000</v>
      </c>
      <c r="D694">
        <v>0</v>
      </c>
      <c r="E694">
        <v>0</v>
      </c>
      <c r="F694">
        <v>0</v>
      </c>
      <c r="G694">
        <v>0</v>
      </c>
      <c r="H694">
        <v>0</v>
      </c>
      <c r="I694">
        <v>0</v>
      </c>
      <c r="J694" t="s">
        <v>843</v>
      </c>
    </row>
    <row r="695" spans="1:10" x14ac:dyDescent="0.3">
      <c r="A695" t="s">
        <v>142</v>
      </c>
      <c r="B695" s="14" t="s">
        <v>1138</v>
      </c>
      <c r="C695">
        <v>1800000</v>
      </c>
      <c r="D695">
        <v>0</v>
      </c>
      <c r="E695">
        <v>0</v>
      </c>
      <c r="F695">
        <v>0</v>
      </c>
      <c r="G695">
        <v>1</v>
      </c>
      <c r="H695">
        <v>0</v>
      </c>
      <c r="I695">
        <v>0</v>
      </c>
      <c r="J695" t="s">
        <v>848</v>
      </c>
    </row>
    <row r="696" spans="1:10" x14ac:dyDescent="0.3">
      <c r="A696" t="s">
        <v>142</v>
      </c>
      <c r="B696" s="14" t="s">
        <v>1139</v>
      </c>
      <c r="C696">
        <v>2400000</v>
      </c>
      <c r="D696">
        <v>0</v>
      </c>
      <c r="E696">
        <v>0</v>
      </c>
      <c r="F696">
        <v>0</v>
      </c>
      <c r="G696">
        <v>0</v>
      </c>
      <c r="H696">
        <v>0</v>
      </c>
      <c r="I696">
        <v>0</v>
      </c>
      <c r="J696" t="s">
        <v>848</v>
      </c>
    </row>
    <row r="697" spans="1:10" x14ac:dyDescent="0.3">
      <c r="A697" t="s">
        <v>142</v>
      </c>
      <c r="B697" s="14" t="s">
        <v>405</v>
      </c>
      <c r="C697">
        <v>3990000</v>
      </c>
      <c r="D697">
        <v>1</v>
      </c>
      <c r="E697">
        <v>0</v>
      </c>
      <c r="F697">
        <v>0</v>
      </c>
      <c r="G697">
        <v>0</v>
      </c>
      <c r="H697">
        <v>0</v>
      </c>
      <c r="I697">
        <v>0</v>
      </c>
      <c r="J697" t="s">
        <v>843</v>
      </c>
    </row>
    <row r="698" spans="1:10" x14ac:dyDescent="0.3">
      <c r="A698" t="s">
        <v>142</v>
      </c>
      <c r="B698" s="14" t="s">
        <v>792</v>
      </c>
      <c r="D698">
        <v>1</v>
      </c>
      <c r="E698">
        <v>0</v>
      </c>
      <c r="F698">
        <v>0</v>
      </c>
      <c r="G698">
        <v>0</v>
      </c>
      <c r="H698">
        <v>0</v>
      </c>
      <c r="I698">
        <v>0</v>
      </c>
      <c r="J698" t="s">
        <v>843</v>
      </c>
    </row>
    <row r="699" spans="1:10" x14ac:dyDescent="0.3">
      <c r="A699" t="s">
        <v>96</v>
      </c>
      <c r="B699" s="14" t="s">
        <v>1140</v>
      </c>
      <c r="C699">
        <v>2250000</v>
      </c>
      <c r="D699">
        <v>1</v>
      </c>
      <c r="E699">
        <v>0</v>
      </c>
      <c r="F699">
        <v>0</v>
      </c>
      <c r="G699">
        <v>0</v>
      </c>
      <c r="H699">
        <v>0</v>
      </c>
      <c r="I699">
        <v>0</v>
      </c>
      <c r="J699" t="s">
        <v>843</v>
      </c>
    </row>
    <row r="700" spans="1:10" x14ac:dyDescent="0.3">
      <c r="A700" t="s">
        <v>96</v>
      </c>
      <c r="B700" s="14" t="s">
        <v>273</v>
      </c>
      <c r="C700">
        <v>1200000</v>
      </c>
      <c r="D700">
        <v>0</v>
      </c>
      <c r="E700">
        <v>0</v>
      </c>
      <c r="F700">
        <v>0</v>
      </c>
      <c r="G700">
        <v>0</v>
      </c>
      <c r="H700">
        <v>0</v>
      </c>
      <c r="I700">
        <v>0</v>
      </c>
      <c r="J700" t="s">
        <v>848</v>
      </c>
    </row>
    <row r="701" spans="1:10" x14ac:dyDescent="0.3">
      <c r="A701" t="s">
        <v>96</v>
      </c>
      <c r="B701" s="14" t="s">
        <v>274</v>
      </c>
      <c r="C701">
        <v>900000</v>
      </c>
      <c r="D701">
        <v>0</v>
      </c>
      <c r="E701">
        <v>0</v>
      </c>
      <c r="F701">
        <v>0</v>
      </c>
      <c r="G701">
        <v>0</v>
      </c>
      <c r="H701">
        <v>0</v>
      </c>
      <c r="I701">
        <v>0</v>
      </c>
      <c r="J701" t="s">
        <v>848</v>
      </c>
    </row>
    <row r="702" spans="1:10" x14ac:dyDescent="0.3">
      <c r="A702" t="s">
        <v>96</v>
      </c>
      <c r="B702" s="14" t="s">
        <v>1141</v>
      </c>
      <c r="C702">
        <v>1800000</v>
      </c>
      <c r="D702">
        <v>3</v>
      </c>
      <c r="E702">
        <v>0</v>
      </c>
      <c r="F702">
        <v>0</v>
      </c>
      <c r="G702">
        <v>2</v>
      </c>
      <c r="H702">
        <v>0</v>
      </c>
      <c r="I702">
        <v>0</v>
      </c>
      <c r="J702" t="s">
        <v>843</v>
      </c>
    </row>
    <row r="703" spans="1:10" x14ac:dyDescent="0.3">
      <c r="A703" t="s">
        <v>96</v>
      </c>
      <c r="B703" s="14" t="s">
        <v>1142</v>
      </c>
      <c r="C703">
        <v>1800000</v>
      </c>
      <c r="D703">
        <v>0</v>
      </c>
      <c r="E703">
        <v>0</v>
      </c>
      <c r="F703">
        <v>1</v>
      </c>
      <c r="G703">
        <v>1</v>
      </c>
      <c r="H703">
        <v>0</v>
      </c>
      <c r="I703">
        <v>0</v>
      </c>
      <c r="J703" t="s">
        <v>848</v>
      </c>
    </row>
    <row r="704" spans="1:10" x14ac:dyDescent="0.3">
      <c r="A704" t="s">
        <v>96</v>
      </c>
      <c r="B704" s="14" t="s">
        <v>380</v>
      </c>
      <c r="C704">
        <v>1300000</v>
      </c>
      <c r="D704">
        <v>0</v>
      </c>
      <c r="E704">
        <v>0</v>
      </c>
      <c r="F704">
        <v>0</v>
      </c>
      <c r="G704">
        <v>1</v>
      </c>
      <c r="H704">
        <v>0</v>
      </c>
      <c r="I704">
        <v>0</v>
      </c>
      <c r="J704" t="s">
        <v>848</v>
      </c>
    </row>
    <row r="705" spans="1:10" x14ac:dyDescent="0.3">
      <c r="A705" t="s">
        <v>96</v>
      </c>
      <c r="B705" s="14" t="s">
        <v>1143</v>
      </c>
      <c r="C705">
        <v>2000000</v>
      </c>
      <c r="D705">
        <v>0</v>
      </c>
      <c r="E705">
        <v>0</v>
      </c>
      <c r="F705">
        <v>0</v>
      </c>
      <c r="G705">
        <v>0</v>
      </c>
      <c r="H705">
        <v>0</v>
      </c>
      <c r="I705">
        <v>0</v>
      </c>
      <c r="J705" t="s">
        <v>848</v>
      </c>
    </row>
    <row r="706" spans="1:10" x14ac:dyDescent="0.3">
      <c r="A706" t="s">
        <v>96</v>
      </c>
      <c r="B706" s="14" t="s">
        <v>1144</v>
      </c>
      <c r="C706">
        <v>2700000</v>
      </c>
      <c r="D706">
        <v>5</v>
      </c>
      <c r="E706">
        <v>0</v>
      </c>
      <c r="F706">
        <v>1</v>
      </c>
      <c r="G706">
        <v>3</v>
      </c>
      <c r="H706">
        <v>0</v>
      </c>
      <c r="I706">
        <v>0</v>
      </c>
      <c r="J706" t="s">
        <v>843</v>
      </c>
    </row>
    <row r="707" spans="1:10" x14ac:dyDescent="0.3">
      <c r="A707" t="s">
        <v>96</v>
      </c>
      <c r="B707" s="14" t="s">
        <v>382</v>
      </c>
      <c r="C707">
        <v>2000000</v>
      </c>
      <c r="D707">
        <v>0</v>
      </c>
      <c r="E707">
        <v>0</v>
      </c>
      <c r="F707">
        <v>0</v>
      </c>
      <c r="G707">
        <v>0</v>
      </c>
      <c r="H707">
        <v>0</v>
      </c>
      <c r="I707">
        <v>0</v>
      </c>
      <c r="J707" t="s">
        <v>848</v>
      </c>
    </row>
    <row r="708" spans="1:10" x14ac:dyDescent="0.3">
      <c r="A708" t="s">
        <v>96</v>
      </c>
      <c r="B708" s="14" t="s">
        <v>1145</v>
      </c>
      <c r="C708">
        <v>2700000</v>
      </c>
      <c r="D708">
        <v>4</v>
      </c>
      <c r="E708">
        <v>0</v>
      </c>
      <c r="F708">
        <v>0</v>
      </c>
      <c r="G708">
        <v>0</v>
      </c>
      <c r="H708">
        <v>0</v>
      </c>
      <c r="I708">
        <v>0</v>
      </c>
      <c r="J708" t="s">
        <v>843</v>
      </c>
    </row>
    <row r="709" spans="1:10" x14ac:dyDescent="0.3">
      <c r="A709" t="s">
        <v>96</v>
      </c>
      <c r="B709" s="14" t="s">
        <v>1146</v>
      </c>
      <c r="C709">
        <v>3000000</v>
      </c>
      <c r="D709">
        <v>0</v>
      </c>
      <c r="E709">
        <v>0</v>
      </c>
      <c r="F709">
        <v>0</v>
      </c>
      <c r="G709">
        <v>0</v>
      </c>
      <c r="H709">
        <v>0</v>
      </c>
      <c r="I709">
        <v>0</v>
      </c>
      <c r="J709" t="s">
        <v>848</v>
      </c>
    </row>
    <row r="710" spans="1:10" x14ac:dyDescent="0.3">
      <c r="A710" t="s">
        <v>96</v>
      </c>
      <c r="B710" s="14" t="s">
        <v>1147</v>
      </c>
      <c r="C710">
        <v>2500000</v>
      </c>
      <c r="D710">
        <v>1</v>
      </c>
      <c r="E710">
        <v>0</v>
      </c>
      <c r="F710">
        <v>0</v>
      </c>
      <c r="G710">
        <v>0</v>
      </c>
      <c r="H710">
        <v>0</v>
      </c>
      <c r="I710">
        <v>0</v>
      </c>
      <c r="J710" t="s">
        <v>843</v>
      </c>
    </row>
    <row r="711" spans="1:10" x14ac:dyDescent="0.3">
      <c r="A711" t="s">
        <v>96</v>
      </c>
      <c r="B711" s="14" t="s">
        <v>383</v>
      </c>
      <c r="C711">
        <v>2700000</v>
      </c>
      <c r="D711">
        <v>0</v>
      </c>
      <c r="E711">
        <v>0</v>
      </c>
      <c r="F711">
        <v>0</v>
      </c>
      <c r="G711">
        <v>1</v>
      </c>
      <c r="H711">
        <v>0</v>
      </c>
      <c r="I711">
        <v>0</v>
      </c>
      <c r="J711" t="s">
        <v>848</v>
      </c>
    </row>
    <row r="712" spans="1:10" x14ac:dyDescent="0.3">
      <c r="A712" t="s">
        <v>96</v>
      </c>
      <c r="B712" s="14" t="s">
        <v>1148</v>
      </c>
      <c r="C712">
        <v>3490000</v>
      </c>
      <c r="D712">
        <v>1</v>
      </c>
      <c r="E712">
        <v>0</v>
      </c>
      <c r="F712">
        <v>1</v>
      </c>
      <c r="G712">
        <v>4</v>
      </c>
      <c r="H712">
        <v>0</v>
      </c>
      <c r="I712">
        <v>0</v>
      </c>
      <c r="J712" t="s">
        <v>843</v>
      </c>
    </row>
    <row r="713" spans="1:10" x14ac:dyDescent="0.3">
      <c r="A713" t="s">
        <v>96</v>
      </c>
      <c r="B713" s="14" t="s">
        <v>1149</v>
      </c>
      <c r="C713">
        <v>2700000</v>
      </c>
      <c r="D713">
        <v>1</v>
      </c>
      <c r="E713">
        <v>0</v>
      </c>
      <c r="F713">
        <v>0</v>
      </c>
      <c r="G713">
        <v>0</v>
      </c>
      <c r="H713">
        <v>0</v>
      </c>
      <c r="I713">
        <v>0</v>
      </c>
      <c r="J713" t="s">
        <v>843</v>
      </c>
    </row>
    <row r="714" spans="1:10" x14ac:dyDescent="0.3">
      <c r="A714" t="s">
        <v>96</v>
      </c>
      <c r="B714" s="14" t="s">
        <v>1149</v>
      </c>
      <c r="C714">
        <v>3200000</v>
      </c>
      <c r="D714">
        <v>0</v>
      </c>
      <c r="E714">
        <v>0</v>
      </c>
      <c r="F714">
        <v>1</v>
      </c>
      <c r="G714">
        <v>1</v>
      </c>
      <c r="H714">
        <v>0</v>
      </c>
      <c r="I714">
        <v>0</v>
      </c>
      <c r="J714" t="s">
        <v>848</v>
      </c>
    </row>
    <row r="715" spans="1:10" x14ac:dyDescent="0.3">
      <c r="A715" t="s">
        <v>96</v>
      </c>
      <c r="B715" s="14" t="s">
        <v>1150</v>
      </c>
      <c r="C715">
        <v>3000000</v>
      </c>
      <c r="D715">
        <v>0</v>
      </c>
      <c r="E715">
        <v>0</v>
      </c>
      <c r="F715">
        <v>0</v>
      </c>
      <c r="G715">
        <v>0</v>
      </c>
      <c r="H715">
        <v>0</v>
      </c>
      <c r="I715">
        <v>0</v>
      </c>
      <c r="J715" t="s">
        <v>848</v>
      </c>
    </row>
    <row r="716" spans="1:10" x14ac:dyDescent="0.3">
      <c r="A716" t="s">
        <v>96</v>
      </c>
      <c r="B716" s="14" t="s">
        <v>1150</v>
      </c>
      <c r="C716">
        <v>3600000</v>
      </c>
      <c r="D716">
        <v>1</v>
      </c>
      <c r="E716">
        <v>0</v>
      </c>
      <c r="F716">
        <v>0</v>
      </c>
      <c r="G716">
        <v>0</v>
      </c>
      <c r="H716">
        <v>0</v>
      </c>
      <c r="I716">
        <v>0</v>
      </c>
      <c r="J716" t="s">
        <v>843</v>
      </c>
    </row>
    <row r="717" spans="1:10" x14ac:dyDescent="0.3">
      <c r="A717" t="s">
        <v>96</v>
      </c>
      <c r="B717" s="14" t="s">
        <v>1151</v>
      </c>
      <c r="C717">
        <v>3600000</v>
      </c>
      <c r="D717">
        <v>4</v>
      </c>
      <c r="E717">
        <v>0</v>
      </c>
      <c r="F717">
        <v>1</v>
      </c>
      <c r="G717">
        <v>1</v>
      </c>
      <c r="H717">
        <v>0</v>
      </c>
      <c r="I717">
        <v>0</v>
      </c>
      <c r="J717" t="s">
        <v>843</v>
      </c>
    </row>
    <row r="718" spans="1:10" x14ac:dyDescent="0.3">
      <c r="A718" t="s">
        <v>96</v>
      </c>
      <c r="B718" s="14" t="s">
        <v>1151</v>
      </c>
      <c r="C718">
        <v>4390000</v>
      </c>
      <c r="D718">
        <v>3</v>
      </c>
      <c r="E718">
        <v>0</v>
      </c>
      <c r="F718">
        <v>0</v>
      </c>
      <c r="G718">
        <v>0</v>
      </c>
      <c r="H718">
        <v>0</v>
      </c>
      <c r="I718">
        <v>0</v>
      </c>
      <c r="J718" t="s">
        <v>843</v>
      </c>
    </row>
    <row r="719" spans="1:10" x14ac:dyDescent="0.3">
      <c r="A719" t="s">
        <v>96</v>
      </c>
      <c r="B719" s="14" t="s">
        <v>743</v>
      </c>
      <c r="D719">
        <v>1</v>
      </c>
      <c r="E719">
        <v>0</v>
      </c>
      <c r="F719">
        <v>0</v>
      </c>
      <c r="G719">
        <v>0</v>
      </c>
      <c r="H719">
        <v>0</v>
      </c>
      <c r="I719">
        <v>0</v>
      </c>
      <c r="J719" t="s">
        <v>843</v>
      </c>
    </row>
    <row r="720" spans="1:10" x14ac:dyDescent="0.3">
      <c r="A720" t="s">
        <v>96</v>
      </c>
      <c r="B720" s="14" t="s">
        <v>742</v>
      </c>
      <c r="C720">
        <v>3200000</v>
      </c>
      <c r="D720">
        <v>1</v>
      </c>
      <c r="E720">
        <v>0</v>
      </c>
      <c r="F720">
        <v>0</v>
      </c>
      <c r="G720">
        <v>0</v>
      </c>
      <c r="H720">
        <v>0</v>
      </c>
      <c r="I720">
        <v>0</v>
      </c>
      <c r="J720" t="s">
        <v>843</v>
      </c>
    </row>
    <row r="721" spans="1:10" x14ac:dyDescent="0.3">
      <c r="A721" t="s">
        <v>96</v>
      </c>
      <c r="B721" s="14" t="s">
        <v>385</v>
      </c>
      <c r="C721">
        <v>2800000</v>
      </c>
      <c r="D721">
        <v>0</v>
      </c>
      <c r="E721">
        <v>0</v>
      </c>
      <c r="F721">
        <v>0</v>
      </c>
      <c r="G721">
        <v>1</v>
      </c>
      <c r="H721">
        <v>0</v>
      </c>
      <c r="I721">
        <v>0</v>
      </c>
      <c r="J721" t="s">
        <v>848</v>
      </c>
    </row>
    <row r="722" spans="1:10" x14ac:dyDescent="0.3">
      <c r="A722" t="s">
        <v>96</v>
      </c>
      <c r="B722" s="14" t="s">
        <v>1152</v>
      </c>
      <c r="C722">
        <v>4990000</v>
      </c>
      <c r="D722">
        <v>1</v>
      </c>
      <c r="E722">
        <v>0</v>
      </c>
      <c r="F722">
        <v>0</v>
      </c>
      <c r="G722">
        <v>1</v>
      </c>
      <c r="H722">
        <v>0</v>
      </c>
      <c r="I722">
        <v>0</v>
      </c>
      <c r="J722" t="s">
        <v>843</v>
      </c>
    </row>
    <row r="723" spans="1:10" x14ac:dyDescent="0.3">
      <c r="A723" t="s">
        <v>96</v>
      </c>
      <c r="B723" s="14" t="s">
        <v>1153</v>
      </c>
      <c r="C723">
        <v>4990000</v>
      </c>
      <c r="D723">
        <v>2</v>
      </c>
      <c r="E723">
        <v>0</v>
      </c>
      <c r="F723">
        <v>1</v>
      </c>
      <c r="G723">
        <v>2</v>
      </c>
      <c r="H723">
        <v>0</v>
      </c>
      <c r="I723">
        <v>0</v>
      </c>
      <c r="J723" t="s">
        <v>843</v>
      </c>
    </row>
    <row r="724" spans="1:10" x14ac:dyDescent="0.3">
      <c r="A724" t="s">
        <v>96</v>
      </c>
      <c r="B724" s="14" t="s">
        <v>744</v>
      </c>
      <c r="C724">
        <v>3000000</v>
      </c>
      <c r="D724">
        <v>0</v>
      </c>
      <c r="E724">
        <v>0</v>
      </c>
      <c r="F724">
        <v>0</v>
      </c>
      <c r="G724">
        <v>0</v>
      </c>
      <c r="H724">
        <v>0</v>
      </c>
      <c r="I724">
        <v>0</v>
      </c>
      <c r="J724" t="s">
        <v>848</v>
      </c>
    </row>
    <row r="725" spans="1:10" x14ac:dyDescent="0.3">
      <c r="A725" t="s">
        <v>96</v>
      </c>
      <c r="B725" s="14" t="s">
        <v>1154</v>
      </c>
      <c r="C725">
        <v>3200000</v>
      </c>
      <c r="D725">
        <v>0</v>
      </c>
      <c r="E725">
        <v>0</v>
      </c>
      <c r="F725">
        <v>0</v>
      </c>
      <c r="G725">
        <v>0</v>
      </c>
      <c r="H725">
        <v>0</v>
      </c>
      <c r="I725">
        <v>0</v>
      </c>
      <c r="J725" t="s">
        <v>843</v>
      </c>
    </row>
    <row r="726" spans="1:10" x14ac:dyDescent="0.3">
      <c r="A726" t="s">
        <v>96</v>
      </c>
      <c r="B726" s="14" t="s">
        <v>386</v>
      </c>
      <c r="C726">
        <v>2000000</v>
      </c>
      <c r="D726">
        <v>0</v>
      </c>
      <c r="E726">
        <v>0</v>
      </c>
      <c r="F726">
        <v>1</v>
      </c>
      <c r="G726">
        <v>1</v>
      </c>
      <c r="H726">
        <v>0</v>
      </c>
      <c r="I726">
        <v>0</v>
      </c>
      <c r="J726" t="s">
        <v>848</v>
      </c>
    </row>
    <row r="727" spans="1:10" x14ac:dyDescent="0.3">
      <c r="A727" t="s">
        <v>96</v>
      </c>
      <c r="B727" s="14" t="s">
        <v>1155</v>
      </c>
      <c r="C727">
        <v>3200000</v>
      </c>
      <c r="D727">
        <v>0</v>
      </c>
      <c r="E727">
        <v>0</v>
      </c>
      <c r="F727">
        <v>0</v>
      </c>
      <c r="G727">
        <v>0</v>
      </c>
      <c r="H727">
        <v>0</v>
      </c>
      <c r="I727">
        <v>0</v>
      </c>
      <c r="J727" t="s">
        <v>848</v>
      </c>
    </row>
    <row r="728" spans="1:10" x14ac:dyDescent="0.3">
      <c r="A728" t="s">
        <v>96</v>
      </c>
      <c r="B728" s="14" t="s">
        <v>1155</v>
      </c>
      <c r="C728">
        <v>4500000</v>
      </c>
      <c r="D728">
        <v>1</v>
      </c>
      <c r="E728">
        <v>0</v>
      </c>
      <c r="F728">
        <v>0</v>
      </c>
      <c r="G728">
        <v>0</v>
      </c>
      <c r="H728">
        <v>0</v>
      </c>
      <c r="I728">
        <v>0</v>
      </c>
      <c r="J728" t="s">
        <v>843</v>
      </c>
    </row>
    <row r="729" spans="1:10" x14ac:dyDescent="0.3">
      <c r="A729" t="s">
        <v>96</v>
      </c>
      <c r="B729" s="14" t="s">
        <v>277</v>
      </c>
      <c r="C729">
        <v>2800000</v>
      </c>
      <c r="D729">
        <v>0</v>
      </c>
      <c r="E729">
        <v>0</v>
      </c>
      <c r="F729">
        <v>1</v>
      </c>
      <c r="G729">
        <v>2</v>
      </c>
      <c r="H729">
        <v>0</v>
      </c>
      <c r="I729">
        <v>0</v>
      </c>
      <c r="J729" t="s">
        <v>848</v>
      </c>
    </row>
    <row r="730" spans="1:10" x14ac:dyDescent="0.3">
      <c r="A730" t="s">
        <v>96</v>
      </c>
      <c r="B730" s="14" t="s">
        <v>1156</v>
      </c>
      <c r="C730">
        <v>3500000</v>
      </c>
      <c r="D730">
        <v>1</v>
      </c>
      <c r="E730">
        <v>0</v>
      </c>
      <c r="F730">
        <v>1</v>
      </c>
      <c r="G730">
        <v>2</v>
      </c>
      <c r="H730">
        <v>0</v>
      </c>
      <c r="I730">
        <v>1</v>
      </c>
      <c r="J730" t="s">
        <v>843</v>
      </c>
    </row>
    <row r="731" spans="1:10" x14ac:dyDescent="0.3">
      <c r="A731" t="s">
        <v>96</v>
      </c>
      <c r="B731" s="14" t="s">
        <v>1156</v>
      </c>
      <c r="C731">
        <v>4000000</v>
      </c>
      <c r="D731">
        <v>1</v>
      </c>
      <c r="E731">
        <v>0</v>
      </c>
      <c r="F731">
        <v>0</v>
      </c>
      <c r="G731">
        <v>0</v>
      </c>
      <c r="H731">
        <v>0</v>
      </c>
      <c r="I731">
        <v>0</v>
      </c>
      <c r="J731" t="s">
        <v>843</v>
      </c>
    </row>
    <row r="732" spans="1:10" x14ac:dyDescent="0.3">
      <c r="A732" t="s">
        <v>96</v>
      </c>
      <c r="B732" s="14" t="s">
        <v>1157</v>
      </c>
      <c r="C732">
        <v>5590000</v>
      </c>
      <c r="D732">
        <v>5</v>
      </c>
      <c r="E732">
        <v>2</v>
      </c>
      <c r="F732">
        <v>3</v>
      </c>
      <c r="G732">
        <v>5</v>
      </c>
      <c r="H732">
        <v>0</v>
      </c>
      <c r="I732">
        <v>0</v>
      </c>
      <c r="J732" t="s">
        <v>843</v>
      </c>
    </row>
    <row r="733" spans="1:10" x14ac:dyDescent="0.3">
      <c r="A733" t="s">
        <v>96</v>
      </c>
      <c r="B733" s="14" t="s">
        <v>388</v>
      </c>
      <c r="C733">
        <v>4000000</v>
      </c>
      <c r="D733">
        <v>0</v>
      </c>
      <c r="E733">
        <v>0</v>
      </c>
      <c r="F733">
        <v>0</v>
      </c>
      <c r="G733">
        <v>0</v>
      </c>
      <c r="H733">
        <v>0</v>
      </c>
      <c r="I733">
        <v>0</v>
      </c>
      <c r="J733" t="s">
        <v>848</v>
      </c>
    </row>
    <row r="734" spans="1:10" x14ac:dyDescent="0.3">
      <c r="A734" t="s">
        <v>96</v>
      </c>
      <c r="B734" s="14" t="s">
        <v>1158</v>
      </c>
      <c r="C734">
        <v>5400000</v>
      </c>
      <c r="D734">
        <v>3</v>
      </c>
      <c r="E734">
        <v>0</v>
      </c>
      <c r="F734">
        <v>0</v>
      </c>
      <c r="G734">
        <v>2</v>
      </c>
      <c r="H734">
        <v>0</v>
      </c>
      <c r="I734">
        <v>0</v>
      </c>
      <c r="J734" t="s">
        <v>843</v>
      </c>
    </row>
    <row r="735" spans="1:10" x14ac:dyDescent="0.3">
      <c r="A735" t="s">
        <v>96</v>
      </c>
      <c r="B735" s="14" t="s">
        <v>1159</v>
      </c>
      <c r="C735">
        <v>2800000</v>
      </c>
      <c r="D735">
        <v>0</v>
      </c>
      <c r="E735">
        <v>0</v>
      </c>
      <c r="F735">
        <v>0</v>
      </c>
      <c r="G735">
        <v>0</v>
      </c>
      <c r="H735">
        <v>0</v>
      </c>
      <c r="I735">
        <v>0</v>
      </c>
      <c r="J735" t="s">
        <v>848</v>
      </c>
    </row>
    <row r="736" spans="1:10" x14ac:dyDescent="0.3">
      <c r="A736" t="s">
        <v>96</v>
      </c>
      <c r="B736" s="14" t="s">
        <v>747</v>
      </c>
      <c r="C736">
        <v>5000000</v>
      </c>
      <c r="D736">
        <v>0</v>
      </c>
      <c r="E736">
        <v>0</v>
      </c>
      <c r="F736">
        <v>0</v>
      </c>
      <c r="G736">
        <v>0</v>
      </c>
      <c r="H736">
        <v>0</v>
      </c>
      <c r="I736">
        <v>0</v>
      </c>
      <c r="J736" t="s">
        <v>848</v>
      </c>
    </row>
    <row r="737" spans="1:10" x14ac:dyDescent="0.3">
      <c r="A737" t="s">
        <v>96</v>
      </c>
      <c r="B737" s="14" t="s">
        <v>1160</v>
      </c>
      <c r="C737">
        <v>3800000</v>
      </c>
      <c r="D737">
        <v>2</v>
      </c>
      <c r="E737">
        <v>0</v>
      </c>
      <c r="F737">
        <v>0</v>
      </c>
      <c r="G737">
        <v>2</v>
      </c>
      <c r="H737">
        <v>0</v>
      </c>
      <c r="I737">
        <v>0</v>
      </c>
      <c r="J737" t="s">
        <v>843</v>
      </c>
    </row>
    <row r="738" spans="1:10" x14ac:dyDescent="0.3">
      <c r="A738" t="s">
        <v>96</v>
      </c>
      <c r="B738" s="14" t="s">
        <v>1161</v>
      </c>
      <c r="C738">
        <v>5000000</v>
      </c>
      <c r="D738">
        <v>0</v>
      </c>
      <c r="E738">
        <v>0</v>
      </c>
      <c r="F738">
        <v>0</v>
      </c>
      <c r="G738">
        <v>0</v>
      </c>
      <c r="H738">
        <v>0</v>
      </c>
      <c r="I738">
        <v>0</v>
      </c>
      <c r="J738" t="s">
        <v>848</v>
      </c>
    </row>
    <row r="739" spans="1:10" x14ac:dyDescent="0.3">
      <c r="A739" t="s">
        <v>96</v>
      </c>
      <c r="B739" s="14" t="s">
        <v>1161</v>
      </c>
      <c r="C739">
        <v>3300000</v>
      </c>
      <c r="D739">
        <v>0</v>
      </c>
      <c r="E739">
        <v>0</v>
      </c>
      <c r="F739">
        <v>3</v>
      </c>
      <c r="G739">
        <v>4</v>
      </c>
      <c r="H739">
        <v>0</v>
      </c>
      <c r="I739">
        <v>0</v>
      </c>
      <c r="J739" t="s">
        <v>848</v>
      </c>
    </row>
    <row r="740" spans="1:10" x14ac:dyDescent="0.3">
      <c r="A740" t="s">
        <v>96</v>
      </c>
      <c r="B740" s="14" t="s">
        <v>1162</v>
      </c>
      <c r="C740">
        <v>6390000</v>
      </c>
      <c r="D740">
        <v>0</v>
      </c>
      <c r="E740">
        <v>0</v>
      </c>
      <c r="F740">
        <v>0</v>
      </c>
      <c r="G740">
        <v>1</v>
      </c>
      <c r="H740">
        <v>0</v>
      </c>
      <c r="I740">
        <v>0</v>
      </c>
      <c r="J740" t="s">
        <v>848</v>
      </c>
    </row>
    <row r="741" spans="1:10" x14ac:dyDescent="0.3">
      <c r="A741" t="s">
        <v>96</v>
      </c>
      <c r="B741" s="14" t="s">
        <v>1163</v>
      </c>
      <c r="C741">
        <v>7090000</v>
      </c>
      <c r="D741">
        <v>7</v>
      </c>
      <c r="E741">
        <v>1</v>
      </c>
      <c r="F741">
        <v>2</v>
      </c>
      <c r="G741">
        <v>3</v>
      </c>
      <c r="H741">
        <v>0</v>
      </c>
      <c r="I741">
        <v>0</v>
      </c>
      <c r="J741" t="s">
        <v>843</v>
      </c>
    </row>
    <row r="742" spans="1:10" x14ac:dyDescent="0.3">
      <c r="A742" t="s">
        <v>96</v>
      </c>
      <c r="B742" s="14" t="s">
        <v>1164</v>
      </c>
      <c r="C742">
        <v>6000000</v>
      </c>
      <c r="D742">
        <v>3</v>
      </c>
      <c r="E742">
        <v>0</v>
      </c>
      <c r="F742">
        <v>1</v>
      </c>
      <c r="G742">
        <v>3</v>
      </c>
      <c r="H742">
        <v>0</v>
      </c>
      <c r="I742">
        <v>0</v>
      </c>
      <c r="J742" t="s">
        <v>843</v>
      </c>
    </row>
    <row r="743" spans="1:10" x14ac:dyDescent="0.3">
      <c r="A743" t="s">
        <v>96</v>
      </c>
      <c r="B743" s="14" t="s">
        <v>748</v>
      </c>
      <c r="C743">
        <v>5500000</v>
      </c>
      <c r="D743">
        <v>0</v>
      </c>
      <c r="E743">
        <v>0</v>
      </c>
      <c r="F743">
        <v>0</v>
      </c>
      <c r="G743">
        <v>0</v>
      </c>
      <c r="H743">
        <v>0</v>
      </c>
      <c r="I743">
        <v>0</v>
      </c>
      <c r="J743" t="s">
        <v>848</v>
      </c>
    </row>
    <row r="744" spans="1:10" x14ac:dyDescent="0.3">
      <c r="A744" t="s">
        <v>96</v>
      </c>
      <c r="B744" s="14" t="s">
        <v>1165</v>
      </c>
      <c r="C744">
        <v>5500000</v>
      </c>
      <c r="D744">
        <v>0</v>
      </c>
      <c r="E744">
        <v>0</v>
      </c>
      <c r="F744">
        <v>0</v>
      </c>
      <c r="G744">
        <v>0</v>
      </c>
      <c r="H744">
        <v>0</v>
      </c>
      <c r="I744">
        <v>0</v>
      </c>
      <c r="J744" t="s">
        <v>848</v>
      </c>
    </row>
    <row r="745" spans="1:10" x14ac:dyDescent="0.3">
      <c r="A745" t="s">
        <v>96</v>
      </c>
      <c r="B745" s="14" t="s">
        <v>1166</v>
      </c>
      <c r="C745">
        <v>7290000</v>
      </c>
      <c r="D745">
        <v>4</v>
      </c>
      <c r="E745">
        <v>0</v>
      </c>
      <c r="F745">
        <v>4</v>
      </c>
      <c r="G745">
        <v>11</v>
      </c>
      <c r="H745">
        <v>0</v>
      </c>
      <c r="I745">
        <v>0</v>
      </c>
      <c r="J745" t="s">
        <v>843</v>
      </c>
    </row>
    <row r="746" spans="1:10" x14ac:dyDescent="0.3">
      <c r="A746" t="s">
        <v>96</v>
      </c>
      <c r="B746" s="14" t="s">
        <v>390</v>
      </c>
      <c r="C746">
        <v>4500000</v>
      </c>
      <c r="D746">
        <v>0</v>
      </c>
      <c r="E746">
        <v>0</v>
      </c>
      <c r="F746">
        <v>0</v>
      </c>
      <c r="G746">
        <v>0</v>
      </c>
      <c r="H746">
        <v>0</v>
      </c>
      <c r="I746">
        <v>0</v>
      </c>
      <c r="J746" t="s">
        <v>848</v>
      </c>
    </row>
    <row r="747" spans="1:10" x14ac:dyDescent="0.3">
      <c r="A747" t="s">
        <v>96</v>
      </c>
      <c r="B747" s="14" t="s">
        <v>1167</v>
      </c>
      <c r="C747">
        <v>7000000</v>
      </c>
      <c r="D747">
        <v>2</v>
      </c>
      <c r="E747">
        <v>0</v>
      </c>
      <c r="F747">
        <v>1</v>
      </c>
      <c r="G747">
        <v>5</v>
      </c>
      <c r="H747">
        <v>0</v>
      </c>
      <c r="I747">
        <v>0</v>
      </c>
      <c r="J747" t="s">
        <v>843</v>
      </c>
    </row>
    <row r="748" spans="1:10" x14ac:dyDescent="0.3">
      <c r="A748" t="s">
        <v>96</v>
      </c>
      <c r="B748" s="14" t="s">
        <v>1167</v>
      </c>
      <c r="C748">
        <v>5500000</v>
      </c>
      <c r="D748">
        <v>0</v>
      </c>
      <c r="E748">
        <v>0</v>
      </c>
      <c r="F748">
        <v>0</v>
      </c>
      <c r="G748">
        <v>0</v>
      </c>
      <c r="H748">
        <v>0</v>
      </c>
      <c r="I748">
        <v>0</v>
      </c>
      <c r="J748" t="s">
        <v>848</v>
      </c>
    </row>
    <row r="749" spans="1:10" x14ac:dyDescent="0.3">
      <c r="A749" t="s">
        <v>96</v>
      </c>
      <c r="B749" s="14" t="s">
        <v>750</v>
      </c>
      <c r="C749">
        <v>2600000</v>
      </c>
      <c r="D749">
        <v>0</v>
      </c>
      <c r="E749">
        <v>0</v>
      </c>
      <c r="F749">
        <v>0</v>
      </c>
      <c r="G749">
        <v>0</v>
      </c>
      <c r="H749">
        <v>0</v>
      </c>
      <c r="I749">
        <v>0</v>
      </c>
      <c r="J749" t="s">
        <v>848</v>
      </c>
    </row>
    <row r="750" spans="1:10" x14ac:dyDescent="0.3">
      <c r="A750" t="s">
        <v>96</v>
      </c>
      <c r="B750" s="14" t="s">
        <v>1168</v>
      </c>
      <c r="C750">
        <v>4290000</v>
      </c>
      <c r="D750">
        <v>0</v>
      </c>
      <c r="E750">
        <v>1</v>
      </c>
      <c r="F750">
        <v>1</v>
      </c>
      <c r="G750">
        <v>2</v>
      </c>
      <c r="H750">
        <v>0</v>
      </c>
      <c r="I750">
        <v>0</v>
      </c>
      <c r="J750" t="s">
        <v>848</v>
      </c>
    </row>
    <row r="751" spans="1:10" x14ac:dyDescent="0.3">
      <c r="A751" t="s">
        <v>96</v>
      </c>
      <c r="B751" s="14" t="s">
        <v>1169</v>
      </c>
      <c r="C751">
        <v>3200000</v>
      </c>
      <c r="D751">
        <v>0</v>
      </c>
      <c r="E751">
        <v>0</v>
      </c>
      <c r="F751">
        <v>1</v>
      </c>
      <c r="G751">
        <v>1</v>
      </c>
      <c r="H751">
        <v>0</v>
      </c>
      <c r="I751">
        <v>0</v>
      </c>
      <c r="J751" t="s">
        <v>848</v>
      </c>
    </row>
    <row r="752" spans="1:10" x14ac:dyDescent="0.3">
      <c r="A752" t="s">
        <v>96</v>
      </c>
      <c r="B752" s="14" t="s">
        <v>1170</v>
      </c>
      <c r="C752">
        <v>14290000</v>
      </c>
      <c r="D752">
        <v>3</v>
      </c>
      <c r="E752">
        <v>2</v>
      </c>
      <c r="F752">
        <v>2</v>
      </c>
      <c r="G752">
        <v>6</v>
      </c>
      <c r="H752">
        <v>0</v>
      </c>
      <c r="I752">
        <v>0</v>
      </c>
      <c r="J752" t="s">
        <v>843</v>
      </c>
    </row>
    <row r="753" spans="1:10" x14ac:dyDescent="0.3">
      <c r="A753" t="s">
        <v>96</v>
      </c>
      <c r="B753" s="14" t="s">
        <v>1171</v>
      </c>
      <c r="C753">
        <v>12000000</v>
      </c>
      <c r="D753">
        <v>2</v>
      </c>
      <c r="E753">
        <v>0</v>
      </c>
      <c r="F753">
        <v>1</v>
      </c>
      <c r="G753">
        <v>1</v>
      </c>
      <c r="H753">
        <v>0</v>
      </c>
      <c r="I753">
        <v>2</v>
      </c>
      <c r="J753" t="s">
        <v>843</v>
      </c>
    </row>
    <row r="754" spans="1:10" x14ac:dyDescent="0.3">
      <c r="A754" t="s">
        <v>96</v>
      </c>
      <c r="B754" s="14" t="s">
        <v>1172</v>
      </c>
      <c r="C754">
        <v>8490000</v>
      </c>
      <c r="D754">
        <v>4</v>
      </c>
      <c r="E754">
        <v>0</v>
      </c>
      <c r="F754">
        <v>1</v>
      </c>
      <c r="G754">
        <v>6</v>
      </c>
      <c r="H754">
        <v>0</v>
      </c>
      <c r="I754">
        <v>0</v>
      </c>
      <c r="J754" t="s">
        <v>843</v>
      </c>
    </row>
    <row r="755" spans="1:10" x14ac:dyDescent="0.3">
      <c r="A755" t="s">
        <v>96</v>
      </c>
      <c r="B755" s="14" t="s">
        <v>1173</v>
      </c>
      <c r="C755">
        <v>7400000</v>
      </c>
      <c r="D755">
        <v>0</v>
      </c>
      <c r="E755">
        <v>0</v>
      </c>
      <c r="F755">
        <v>0</v>
      </c>
      <c r="G755">
        <v>0</v>
      </c>
      <c r="H755">
        <v>0</v>
      </c>
      <c r="I755">
        <v>0</v>
      </c>
      <c r="J755" t="s">
        <v>848</v>
      </c>
    </row>
    <row r="756" spans="1:10" x14ac:dyDescent="0.3">
      <c r="A756" t="s">
        <v>96</v>
      </c>
      <c r="B756" s="14" t="s">
        <v>1174</v>
      </c>
      <c r="C756">
        <v>16490000</v>
      </c>
      <c r="D756">
        <v>1</v>
      </c>
      <c r="E756">
        <v>0</v>
      </c>
      <c r="F756">
        <v>1</v>
      </c>
      <c r="G756">
        <v>1</v>
      </c>
      <c r="H756">
        <v>0</v>
      </c>
      <c r="I756">
        <v>0</v>
      </c>
      <c r="J756" t="s">
        <v>843</v>
      </c>
    </row>
    <row r="757" spans="1:10" x14ac:dyDescent="0.3">
      <c r="A757" t="s">
        <v>96</v>
      </c>
      <c r="B757" s="14" t="s">
        <v>1175</v>
      </c>
      <c r="C757">
        <v>14200000</v>
      </c>
      <c r="D757">
        <v>2</v>
      </c>
      <c r="E757">
        <v>0</v>
      </c>
      <c r="F757">
        <v>0</v>
      </c>
      <c r="G757">
        <v>0</v>
      </c>
      <c r="H757">
        <v>0</v>
      </c>
      <c r="I757">
        <v>0</v>
      </c>
      <c r="J757" t="s">
        <v>843</v>
      </c>
    </row>
    <row r="758" spans="1:10" x14ac:dyDescent="0.3">
      <c r="A758" t="s">
        <v>96</v>
      </c>
      <c r="B758" s="14" t="s">
        <v>1175</v>
      </c>
      <c r="C758">
        <v>14000000</v>
      </c>
      <c r="D758">
        <v>4</v>
      </c>
      <c r="E758">
        <v>0</v>
      </c>
      <c r="F758">
        <v>1</v>
      </c>
      <c r="G758">
        <v>4</v>
      </c>
      <c r="H758">
        <v>1</v>
      </c>
      <c r="I758">
        <v>1</v>
      </c>
      <c r="J758" t="s">
        <v>843</v>
      </c>
    </row>
    <row r="759" spans="1:10" x14ac:dyDescent="0.3">
      <c r="A759" t="s">
        <v>96</v>
      </c>
      <c r="B759" s="14" t="s">
        <v>751</v>
      </c>
      <c r="C759">
        <v>800000</v>
      </c>
      <c r="D759">
        <v>0</v>
      </c>
      <c r="E759">
        <v>0</v>
      </c>
      <c r="F759">
        <v>0</v>
      </c>
      <c r="G759">
        <v>0</v>
      </c>
      <c r="H759">
        <v>0</v>
      </c>
      <c r="I759">
        <v>0</v>
      </c>
      <c r="J759" t="s">
        <v>848</v>
      </c>
    </row>
    <row r="760" spans="1:10" x14ac:dyDescent="0.3">
      <c r="A760" t="s">
        <v>96</v>
      </c>
      <c r="B760" s="14" t="s">
        <v>753</v>
      </c>
      <c r="C760">
        <v>4100000</v>
      </c>
      <c r="D760">
        <v>0</v>
      </c>
      <c r="E760">
        <v>0</v>
      </c>
      <c r="F760">
        <v>0</v>
      </c>
      <c r="G760">
        <v>0</v>
      </c>
      <c r="H760">
        <v>0</v>
      </c>
      <c r="I760">
        <v>0</v>
      </c>
      <c r="J760" t="s">
        <v>848</v>
      </c>
    </row>
    <row r="761" spans="1:10" x14ac:dyDescent="0.3">
      <c r="A761" t="s">
        <v>96</v>
      </c>
      <c r="B761" s="14" t="s">
        <v>752</v>
      </c>
      <c r="C761">
        <v>7399000</v>
      </c>
      <c r="D761">
        <v>0</v>
      </c>
      <c r="E761">
        <v>0</v>
      </c>
      <c r="F761">
        <v>0</v>
      </c>
      <c r="G761">
        <v>0</v>
      </c>
      <c r="H761">
        <v>0</v>
      </c>
      <c r="I761">
        <v>0</v>
      </c>
      <c r="J761" t="s">
        <v>848</v>
      </c>
    </row>
    <row r="762" spans="1:10" x14ac:dyDescent="0.3">
      <c r="A762" t="s">
        <v>96</v>
      </c>
      <c r="B762" s="14" t="s">
        <v>755</v>
      </c>
      <c r="C762">
        <v>4800000</v>
      </c>
      <c r="D762">
        <v>0</v>
      </c>
      <c r="E762">
        <v>0</v>
      </c>
      <c r="F762">
        <v>0</v>
      </c>
      <c r="G762">
        <v>0</v>
      </c>
      <c r="H762">
        <v>0</v>
      </c>
      <c r="I762">
        <v>0</v>
      </c>
      <c r="J762" t="s">
        <v>848</v>
      </c>
    </row>
    <row r="763" spans="1:10" x14ac:dyDescent="0.3">
      <c r="A763" t="s">
        <v>96</v>
      </c>
      <c r="B763" s="14" t="s">
        <v>754</v>
      </c>
      <c r="C763">
        <v>6300000</v>
      </c>
      <c r="D763">
        <v>0</v>
      </c>
      <c r="E763">
        <v>0</v>
      </c>
      <c r="F763">
        <v>0</v>
      </c>
      <c r="G763">
        <v>0</v>
      </c>
      <c r="H763">
        <v>0</v>
      </c>
      <c r="I763">
        <v>0</v>
      </c>
      <c r="J763" t="s">
        <v>848</v>
      </c>
    </row>
    <row r="764" spans="1:10" x14ac:dyDescent="0.3">
      <c r="A764" t="s">
        <v>96</v>
      </c>
      <c r="B764" s="14" t="s">
        <v>1176</v>
      </c>
      <c r="C764">
        <v>2000000</v>
      </c>
      <c r="D764">
        <v>0</v>
      </c>
      <c r="E764">
        <v>0</v>
      </c>
      <c r="F764">
        <v>0</v>
      </c>
      <c r="G764">
        <v>0</v>
      </c>
      <c r="H764">
        <v>0</v>
      </c>
      <c r="I764">
        <v>0</v>
      </c>
      <c r="J764" t="s">
        <v>848</v>
      </c>
    </row>
    <row r="765" spans="1:10" x14ac:dyDescent="0.3">
      <c r="A765" t="s">
        <v>96</v>
      </c>
      <c r="B765" s="14" t="s">
        <v>1177</v>
      </c>
      <c r="C765">
        <v>7000000</v>
      </c>
      <c r="D765">
        <v>0</v>
      </c>
      <c r="E765">
        <v>0</v>
      </c>
      <c r="F765">
        <v>0</v>
      </c>
      <c r="G765">
        <v>0</v>
      </c>
      <c r="H765">
        <v>0</v>
      </c>
      <c r="I765">
        <v>0</v>
      </c>
      <c r="J765" t="s">
        <v>848</v>
      </c>
    </row>
    <row r="766" spans="1:10" x14ac:dyDescent="0.3">
      <c r="A766" t="s">
        <v>96</v>
      </c>
      <c r="B766" s="14" t="s">
        <v>1177</v>
      </c>
      <c r="C766">
        <v>7800000</v>
      </c>
      <c r="D766">
        <v>0</v>
      </c>
      <c r="E766">
        <v>0</v>
      </c>
      <c r="F766">
        <v>0</v>
      </c>
      <c r="G766">
        <v>0</v>
      </c>
      <c r="H766">
        <v>0</v>
      </c>
      <c r="I766">
        <v>0</v>
      </c>
      <c r="J766" t="s">
        <v>848</v>
      </c>
    </row>
    <row r="767" spans="1:10" x14ac:dyDescent="0.3">
      <c r="A767" t="s">
        <v>96</v>
      </c>
      <c r="B767" s="14" t="s">
        <v>1177</v>
      </c>
      <c r="C767">
        <v>9300000</v>
      </c>
      <c r="D767">
        <v>0</v>
      </c>
      <c r="E767">
        <v>0</v>
      </c>
      <c r="F767">
        <v>0</v>
      </c>
      <c r="G767">
        <v>0</v>
      </c>
      <c r="H767">
        <v>0</v>
      </c>
      <c r="I767">
        <v>0</v>
      </c>
      <c r="J767" t="s">
        <v>848</v>
      </c>
    </row>
    <row r="768" spans="1:10" x14ac:dyDescent="0.3">
      <c r="A768" t="s">
        <v>96</v>
      </c>
      <c r="B768" s="14" t="s">
        <v>1178</v>
      </c>
      <c r="C768">
        <v>14000000</v>
      </c>
      <c r="D768">
        <v>2</v>
      </c>
      <c r="E768">
        <v>0</v>
      </c>
      <c r="F768">
        <v>0</v>
      </c>
      <c r="G768">
        <v>0</v>
      </c>
      <c r="H768">
        <v>0</v>
      </c>
      <c r="I768">
        <v>0</v>
      </c>
      <c r="J768" t="s">
        <v>843</v>
      </c>
    </row>
    <row r="769" spans="1:10" x14ac:dyDescent="0.3">
      <c r="A769" t="s">
        <v>96</v>
      </c>
      <c r="B769" s="14" t="s">
        <v>759</v>
      </c>
      <c r="C769">
        <v>9500000</v>
      </c>
      <c r="D769">
        <v>0</v>
      </c>
      <c r="E769">
        <v>0</v>
      </c>
      <c r="F769">
        <v>0</v>
      </c>
      <c r="G769">
        <v>0</v>
      </c>
      <c r="H769">
        <v>0</v>
      </c>
      <c r="I769">
        <v>0</v>
      </c>
      <c r="J769" t="s">
        <v>848</v>
      </c>
    </row>
    <row r="770" spans="1:10" x14ac:dyDescent="0.3">
      <c r="A770" t="s">
        <v>96</v>
      </c>
      <c r="B770" s="14" t="s">
        <v>1179</v>
      </c>
      <c r="C770">
        <v>8800000</v>
      </c>
      <c r="D770">
        <v>0</v>
      </c>
      <c r="E770">
        <v>0</v>
      </c>
      <c r="F770">
        <v>0</v>
      </c>
      <c r="G770">
        <v>1</v>
      </c>
      <c r="H770">
        <v>0</v>
      </c>
      <c r="I770">
        <v>0</v>
      </c>
      <c r="J770" t="s">
        <v>848</v>
      </c>
    </row>
    <row r="771" spans="1:10" x14ac:dyDescent="0.3">
      <c r="A771" t="s">
        <v>96</v>
      </c>
      <c r="B771" s="14" t="s">
        <v>1179</v>
      </c>
      <c r="C771">
        <v>7500000</v>
      </c>
      <c r="D771">
        <v>1</v>
      </c>
      <c r="E771">
        <v>0</v>
      </c>
      <c r="F771">
        <v>0</v>
      </c>
      <c r="G771">
        <v>0</v>
      </c>
      <c r="H771">
        <v>0</v>
      </c>
      <c r="I771">
        <v>0</v>
      </c>
      <c r="J771" t="s">
        <v>843</v>
      </c>
    </row>
    <row r="772" spans="1:10" x14ac:dyDescent="0.3">
      <c r="A772" t="s">
        <v>96</v>
      </c>
      <c r="B772" s="14" t="s">
        <v>1179</v>
      </c>
      <c r="C772">
        <v>8300000</v>
      </c>
      <c r="D772">
        <v>0</v>
      </c>
      <c r="E772">
        <v>0</v>
      </c>
      <c r="F772">
        <v>0</v>
      </c>
      <c r="G772">
        <v>0</v>
      </c>
      <c r="H772">
        <v>0</v>
      </c>
      <c r="I772">
        <v>0</v>
      </c>
      <c r="J772" t="s">
        <v>848</v>
      </c>
    </row>
    <row r="773" spans="1:10" x14ac:dyDescent="0.3">
      <c r="A773" t="s">
        <v>96</v>
      </c>
      <c r="B773" s="14" t="s">
        <v>760</v>
      </c>
      <c r="C773">
        <v>8699000</v>
      </c>
      <c r="D773">
        <v>0</v>
      </c>
      <c r="E773">
        <v>0</v>
      </c>
      <c r="F773">
        <v>0</v>
      </c>
      <c r="G773">
        <v>0</v>
      </c>
      <c r="H773">
        <v>0</v>
      </c>
      <c r="I773">
        <v>0</v>
      </c>
      <c r="J773" t="s">
        <v>848</v>
      </c>
    </row>
    <row r="774" spans="1:10" x14ac:dyDescent="0.3">
      <c r="A774" t="s">
        <v>96</v>
      </c>
      <c r="B774" s="14" t="s">
        <v>1180</v>
      </c>
      <c r="C774">
        <v>10000000</v>
      </c>
      <c r="D774">
        <v>1</v>
      </c>
      <c r="E774">
        <v>0</v>
      </c>
      <c r="F774">
        <v>0</v>
      </c>
      <c r="G774">
        <v>0</v>
      </c>
      <c r="H774">
        <v>1</v>
      </c>
      <c r="I774">
        <v>1</v>
      </c>
      <c r="J774" t="s">
        <v>843</v>
      </c>
    </row>
    <row r="775" spans="1:10" x14ac:dyDescent="0.3">
      <c r="A775" t="s">
        <v>96</v>
      </c>
      <c r="B775" s="14" t="s">
        <v>1180</v>
      </c>
      <c r="C775">
        <v>8800000</v>
      </c>
      <c r="D775">
        <v>2</v>
      </c>
      <c r="E775">
        <v>0</v>
      </c>
      <c r="F775">
        <v>0</v>
      </c>
      <c r="G775">
        <v>0</v>
      </c>
      <c r="H775">
        <v>0</v>
      </c>
      <c r="I775">
        <v>0</v>
      </c>
      <c r="J775" t="s">
        <v>843</v>
      </c>
    </row>
    <row r="776" spans="1:10" x14ac:dyDescent="0.3">
      <c r="A776" t="s">
        <v>96</v>
      </c>
      <c r="B776" s="14" t="s">
        <v>761</v>
      </c>
      <c r="C776">
        <v>9900000</v>
      </c>
      <c r="D776">
        <v>3</v>
      </c>
      <c r="E776">
        <v>0</v>
      </c>
      <c r="F776">
        <v>0</v>
      </c>
      <c r="G776">
        <v>0</v>
      </c>
      <c r="H776">
        <v>0</v>
      </c>
      <c r="I776">
        <v>0</v>
      </c>
      <c r="J776" t="s">
        <v>843</v>
      </c>
    </row>
    <row r="777" spans="1:10" x14ac:dyDescent="0.3">
      <c r="A777" t="s">
        <v>96</v>
      </c>
      <c r="B777" s="14" t="s">
        <v>1181</v>
      </c>
      <c r="C777">
        <v>10300000</v>
      </c>
      <c r="D777">
        <v>0</v>
      </c>
      <c r="E777">
        <v>0</v>
      </c>
      <c r="F777">
        <v>0</v>
      </c>
      <c r="G777">
        <v>0</v>
      </c>
      <c r="H777">
        <v>0</v>
      </c>
      <c r="I777">
        <v>0</v>
      </c>
      <c r="J777" t="s">
        <v>848</v>
      </c>
    </row>
    <row r="778" spans="1:10" x14ac:dyDescent="0.3">
      <c r="A778" t="s">
        <v>96</v>
      </c>
      <c r="B778" s="14" t="s">
        <v>1181</v>
      </c>
      <c r="C778">
        <v>10500000</v>
      </c>
      <c r="D778">
        <v>2</v>
      </c>
      <c r="E778">
        <v>0</v>
      </c>
      <c r="F778">
        <v>0</v>
      </c>
      <c r="G778">
        <v>1</v>
      </c>
      <c r="H778">
        <v>0</v>
      </c>
      <c r="I778">
        <v>1</v>
      </c>
      <c r="J778" t="s">
        <v>843</v>
      </c>
    </row>
    <row r="779" spans="1:10" x14ac:dyDescent="0.3">
      <c r="A779" t="s">
        <v>96</v>
      </c>
      <c r="B779" s="14" t="s">
        <v>1181</v>
      </c>
      <c r="C779">
        <v>10000000</v>
      </c>
      <c r="D779">
        <v>1</v>
      </c>
      <c r="E779">
        <v>0</v>
      </c>
      <c r="F779">
        <v>0</v>
      </c>
      <c r="G779">
        <v>0</v>
      </c>
      <c r="H779">
        <v>0</v>
      </c>
      <c r="I779">
        <v>0</v>
      </c>
      <c r="J779" t="s">
        <v>843</v>
      </c>
    </row>
    <row r="780" spans="1:10" x14ac:dyDescent="0.3">
      <c r="A780" t="s">
        <v>96</v>
      </c>
      <c r="B780" s="14" t="s">
        <v>1182</v>
      </c>
      <c r="C780">
        <v>16500000</v>
      </c>
      <c r="D780">
        <v>4</v>
      </c>
      <c r="E780">
        <v>1</v>
      </c>
      <c r="F780">
        <v>3</v>
      </c>
      <c r="G780">
        <v>3</v>
      </c>
      <c r="H780">
        <v>0</v>
      </c>
      <c r="I780">
        <v>0</v>
      </c>
      <c r="J780" t="s">
        <v>843</v>
      </c>
    </row>
    <row r="781" spans="1:10" x14ac:dyDescent="0.3">
      <c r="A781" t="s">
        <v>96</v>
      </c>
      <c r="B781" s="14" t="s">
        <v>1183</v>
      </c>
      <c r="C781">
        <v>14090000</v>
      </c>
      <c r="D781">
        <v>0</v>
      </c>
      <c r="E781">
        <v>0</v>
      </c>
      <c r="F781">
        <v>1</v>
      </c>
      <c r="G781">
        <v>2</v>
      </c>
      <c r="H781">
        <v>0</v>
      </c>
      <c r="I781">
        <v>0</v>
      </c>
      <c r="J781" t="s">
        <v>848</v>
      </c>
    </row>
    <row r="782" spans="1:10" x14ac:dyDescent="0.3">
      <c r="A782" t="s">
        <v>96</v>
      </c>
      <c r="B782" s="14" t="s">
        <v>1184</v>
      </c>
      <c r="C782">
        <v>18290000</v>
      </c>
      <c r="D782">
        <v>0</v>
      </c>
      <c r="E782">
        <v>0</v>
      </c>
      <c r="F782">
        <v>0</v>
      </c>
      <c r="G782">
        <v>2</v>
      </c>
      <c r="H782">
        <v>0</v>
      </c>
      <c r="I782">
        <v>0</v>
      </c>
      <c r="J782" t="s">
        <v>843</v>
      </c>
    </row>
    <row r="783" spans="1:10" x14ac:dyDescent="0.3">
      <c r="A783" t="s">
        <v>96</v>
      </c>
      <c r="B783" s="14" t="s">
        <v>221</v>
      </c>
      <c r="C783">
        <v>15500000</v>
      </c>
      <c r="D783">
        <v>4</v>
      </c>
      <c r="E783">
        <v>0</v>
      </c>
      <c r="F783">
        <v>0</v>
      </c>
      <c r="G783">
        <v>1</v>
      </c>
      <c r="H783">
        <v>0</v>
      </c>
      <c r="I783">
        <v>0</v>
      </c>
      <c r="J783" t="s">
        <v>843</v>
      </c>
    </row>
    <row r="784" spans="1:10" x14ac:dyDescent="0.3">
      <c r="A784" t="s">
        <v>96</v>
      </c>
      <c r="B784" s="14" t="s">
        <v>394</v>
      </c>
      <c r="C784">
        <v>10500000</v>
      </c>
      <c r="D784">
        <v>0</v>
      </c>
      <c r="E784">
        <v>0</v>
      </c>
      <c r="F784">
        <v>0</v>
      </c>
      <c r="G784">
        <v>0</v>
      </c>
      <c r="H784">
        <v>0</v>
      </c>
      <c r="I784">
        <v>0</v>
      </c>
      <c r="J784" t="s">
        <v>848</v>
      </c>
    </row>
    <row r="785" spans="1:10" x14ac:dyDescent="0.3">
      <c r="A785" t="s">
        <v>96</v>
      </c>
      <c r="B785" s="14" t="s">
        <v>1185</v>
      </c>
      <c r="C785">
        <v>13190000</v>
      </c>
      <c r="D785">
        <v>6</v>
      </c>
      <c r="E785">
        <v>1</v>
      </c>
      <c r="F785">
        <v>4</v>
      </c>
      <c r="G785">
        <v>9</v>
      </c>
      <c r="H785">
        <v>0</v>
      </c>
      <c r="I785">
        <v>0</v>
      </c>
      <c r="J785" t="s">
        <v>843</v>
      </c>
    </row>
    <row r="786" spans="1:10" x14ac:dyDescent="0.3">
      <c r="A786" t="s">
        <v>96</v>
      </c>
      <c r="B786" s="14" t="s">
        <v>762</v>
      </c>
      <c r="C786">
        <v>4199000</v>
      </c>
      <c r="D786">
        <v>0</v>
      </c>
      <c r="E786">
        <v>0</v>
      </c>
      <c r="F786">
        <v>0</v>
      </c>
      <c r="G786">
        <v>0</v>
      </c>
      <c r="H786">
        <v>0</v>
      </c>
      <c r="I786">
        <v>0</v>
      </c>
      <c r="J786" t="s">
        <v>848</v>
      </c>
    </row>
    <row r="787" spans="1:10" x14ac:dyDescent="0.3">
      <c r="A787" t="s">
        <v>96</v>
      </c>
      <c r="B787" s="14" t="s">
        <v>763</v>
      </c>
      <c r="C787">
        <v>11499000</v>
      </c>
      <c r="D787">
        <v>0</v>
      </c>
      <c r="E787">
        <v>0</v>
      </c>
      <c r="F787">
        <v>0</v>
      </c>
      <c r="G787">
        <v>0</v>
      </c>
      <c r="H787">
        <v>0</v>
      </c>
      <c r="I787">
        <v>0</v>
      </c>
      <c r="J787" t="s">
        <v>848</v>
      </c>
    </row>
    <row r="788" spans="1:10" x14ac:dyDescent="0.3">
      <c r="A788" t="s">
        <v>96</v>
      </c>
      <c r="B788" s="14" t="s">
        <v>764</v>
      </c>
      <c r="C788">
        <v>6600000</v>
      </c>
      <c r="D788">
        <v>0</v>
      </c>
      <c r="E788">
        <v>0</v>
      </c>
      <c r="F788">
        <v>0</v>
      </c>
      <c r="G788">
        <v>0</v>
      </c>
      <c r="H788">
        <v>0</v>
      </c>
      <c r="I788">
        <v>0</v>
      </c>
      <c r="J788" t="s">
        <v>848</v>
      </c>
    </row>
    <row r="789" spans="1:10" x14ac:dyDescent="0.3">
      <c r="A789" t="s">
        <v>96</v>
      </c>
      <c r="B789" s="14" t="s">
        <v>765</v>
      </c>
      <c r="C789">
        <v>5000000</v>
      </c>
      <c r="D789">
        <v>0</v>
      </c>
      <c r="E789">
        <v>0</v>
      </c>
      <c r="F789">
        <v>0</v>
      </c>
      <c r="G789">
        <v>0</v>
      </c>
      <c r="H789">
        <v>0</v>
      </c>
      <c r="I789">
        <v>0</v>
      </c>
      <c r="J789" t="s">
        <v>848</v>
      </c>
    </row>
    <row r="790" spans="1:10" x14ac:dyDescent="0.3">
      <c r="A790" t="s">
        <v>96</v>
      </c>
      <c r="B790" s="14" t="s">
        <v>767</v>
      </c>
      <c r="C790">
        <v>8500000</v>
      </c>
      <c r="D790">
        <v>0</v>
      </c>
      <c r="E790">
        <v>0</v>
      </c>
      <c r="F790">
        <v>0</v>
      </c>
      <c r="G790">
        <v>0</v>
      </c>
      <c r="H790">
        <v>0</v>
      </c>
      <c r="I790">
        <v>0</v>
      </c>
      <c r="J790" t="s">
        <v>848</v>
      </c>
    </row>
    <row r="791" spans="1:10" x14ac:dyDescent="0.3">
      <c r="A791" t="s">
        <v>96</v>
      </c>
      <c r="B791" s="14" t="s">
        <v>766</v>
      </c>
      <c r="C791">
        <v>5000000</v>
      </c>
      <c r="D791">
        <v>0</v>
      </c>
      <c r="E791">
        <v>0</v>
      </c>
      <c r="F791">
        <v>0</v>
      </c>
      <c r="G791">
        <v>0</v>
      </c>
      <c r="H791">
        <v>0</v>
      </c>
      <c r="I791">
        <v>0</v>
      </c>
      <c r="J791" t="s">
        <v>848</v>
      </c>
    </row>
    <row r="792" spans="1:10" x14ac:dyDescent="0.3">
      <c r="A792" t="s">
        <v>96</v>
      </c>
      <c r="B792" s="14" t="s">
        <v>768</v>
      </c>
      <c r="C792">
        <v>11290000</v>
      </c>
      <c r="D792">
        <v>0</v>
      </c>
      <c r="E792">
        <v>0</v>
      </c>
      <c r="F792">
        <v>0</v>
      </c>
      <c r="G792">
        <v>0</v>
      </c>
      <c r="H792">
        <v>0</v>
      </c>
      <c r="I792">
        <v>0</v>
      </c>
      <c r="J792" t="s">
        <v>848</v>
      </c>
    </row>
    <row r="793" spans="1:10" x14ac:dyDescent="0.3">
      <c r="A793" t="s">
        <v>96</v>
      </c>
      <c r="B793" s="14" t="s">
        <v>769</v>
      </c>
      <c r="C793">
        <v>6500000</v>
      </c>
      <c r="D793">
        <v>0</v>
      </c>
      <c r="E793">
        <v>0</v>
      </c>
      <c r="F793">
        <v>0</v>
      </c>
      <c r="G793">
        <v>0</v>
      </c>
      <c r="H793">
        <v>0</v>
      </c>
      <c r="I793">
        <v>0</v>
      </c>
      <c r="J793" t="s">
        <v>848</v>
      </c>
    </row>
    <row r="794" spans="1:10" x14ac:dyDescent="0.3">
      <c r="A794" t="s">
        <v>96</v>
      </c>
      <c r="B794" s="14" t="s">
        <v>1186</v>
      </c>
      <c r="C794">
        <v>7500000</v>
      </c>
      <c r="D794">
        <v>0</v>
      </c>
      <c r="E794">
        <v>0</v>
      </c>
      <c r="F794">
        <v>0</v>
      </c>
      <c r="G794">
        <v>0</v>
      </c>
      <c r="H794">
        <v>0</v>
      </c>
      <c r="I794">
        <v>0</v>
      </c>
      <c r="J794" t="s">
        <v>848</v>
      </c>
    </row>
    <row r="795" spans="1:10" x14ac:dyDescent="0.3">
      <c r="A795" t="s">
        <v>96</v>
      </c>
      <c r="B795" s="14" t="s">
        <v>771</v>
      </c>
      <c r="C795">
        <v>9500000</v>
      </c>
      <c r="D795">
        <v>0</v>
      </c>
      <c r="E795">
        <v>0</v>
      </c>
      <c r="F795">
        <v>0</v>
      </c>
      <c r="G795">
        <v>0</v>
      </c>
      <c r="H795">
        <v>0</v>
      </c>
      <c r="I795">
        <v>0</v>
      </c>
      <c r="J795" t="s">
        <v>848</v>
      </c>
    </row>
    <row r="796" spans="1:10" x14ac:dyDescent="0.3">
      <c r="A796" t="s">
        <v>96</v>
      </c>
      <c r="B796" s="14" t="s">
        <v>1187</v>
      </c>
      <c r="C796">
        <v>4900000</v>
      </c>
      <c r="D796">
        <v>0</v>
      </c>
      <c r="E796">
        <v>0</v>
      </c>
      <c r="F796">
        <v>0</v>
      </c>
      <c r="G796">
        <v>0</v>
      </c>
      <c r="H796">
        <v>0</v>
      </c>
      <c r="I796">
        <v>0</v>
      </c>
      <c r="J796" t="s">
        <v>848</v>
      </c>
    </row>
    <row r="797" spans="1:10" x14ac:dyDescent="0.3">
      <c r="A797" t="s">
        <v>96</v>
      </c>
      <c r="B797" s="14" t="s">
        <v>1187</v>
      </c>
      <c r="C797">
        <v>6500000</v>
      </c>
      <c r="D797">
        <v>0</v>
      </c>
      <c r="E797">
        <v>0</v>
      </c>
      <c r="F797">
        <v>0</v>
      </c>
      <c r="G797">
        <v>0</v>
      </c>
      <c r="H797">
        <v>0</v>
      </c>
      <c r="I797">
        <v>0</v>
      </c>
      <c r="J797" t="s">
        <v>848</v>
      </c>
    </row>
    <row r="798" spans="1:10" x14ac:dyDescent="0.3">
      <c r="A798" t="s">
        <v>96</v>
      </c>
      <c r="B798" s="14" t="s">
        <v>773</v>
      </c>
      <c r="C798">
        <v>10500000</v>
      </c>
      <c r="D798">
        <v>0</v>
      </c>
      <c r="E798">
        <v>0</v>
      </c>
      <c r="F798">
        <v>0</v>
      </c>
      <c r="G798">
        <v>0</v>
      </c>
      <c r="H798">
        <v>0</v>
      </c>
      <c r="I798">
        <v>0</v>
      </c>
      <c r="J798" t="s">
        <v>848</v>
      </c>
    </row>
    <row r="799" spans="1:10" x14ac:dyDescent="0.3">
      <c r="A799" t="s">
        <v>96</v>
      </c>
      <c r="B799" s="14" t="s">
        <v>774</v>
      </c>
      <c r="C799">
        <v>7800000</v>
      </c>
      <c r="D799">
        <v>0</v>
      </c>
      <c r="E799">
        <v>0</v>
      </c>
      <c r="F799">
        <v>0</v>
      </c>
      <c r="G799">
        <v>0</v>
      </c>
      <c r="H799">
        <v>0</v>
      </c>
      <c r="I799">
        <v>0</v>
      </c>
      <c r="J799" t="s">
        <v>848</v>
      </c>
    </row>
    <row r="800" spans="1:10" x14ac:dyDescent="0.3">
      <c r="A800" t="s">
        <v>96</v>
      </c>
      <c r="B800" s="14" t="s">
        <v>1188</v>
      </c>
      <c r="C800">
        <v>6000000</v>
      </c>
      <c r="D800">
        <v>1</v>
      </c>
      <c r="E800">
        <v>0</v>
      </c>
      <c r="F800">
        <v>0</v>
      </c>
      <c r="G800">
        <v>0</v>
      </c>
      <c r="H800">
        <v>0</v>
      </c>
      <c r="I800">
        <v>0</v>
      </c>
      <c r="J800" t="s">
        <v>843</v>
      </c>
    </row>
    <row r="801" spans="1:10" x14ac:dyDescent="0.3">
      <c r="A801" t="s">
        <v>96</v>
      </c>
      <c r="B801" s="14" t="s">
        <v>1188</v>
      </c>
      <c r="C801">
        <v>7000000</v>
      </c>
      <c r="D801">
        <v>0</v>
      </c>
      <c r="E801">
        <v>0</v>
      </c>
      <c r="F801">
        <v>0</v>
      </c>
      <c r="G801">
        <v>0</v>
      </c>
      <c r="H801">
        <v>0</v>
      </c>
      <c r="I801">
        <v>0</v>
      </c>
      <c r="J801" t="s">
        <v>848</v>
      </c>
    </row>
    <row r="802" spans="1:10" x14ac:dyDescent="0.3">
      <c r="A802" t="s">
        <v>96</v>
      </c>
      <c r="B802" s="14" t="s">
        <v>776</v>
      </c>
      <c r="C802">
        <v>2000000</v>
      </c>
      <c r="D802">
        <v>0</v>
      </c>
      <c r="E802">
        <v>0</v>
      </c>
      <c r="F802">
        <v>0</v>
      </c>
      <c r="G802">
        <v>0</v>
      </c>
      <c r="H802">
        <v>0</v>
      </c>
      <c r="I802">
        <v>0</v>
      </c>
      <c r="J802" t="s">
        <v>848</v>
      </c>
    </row>
    <row r="803" spans="1:10" x14ac:dyDescent="0.3">
      <c r="A803" t="s">
        <v>96</v>
      </c>
      <c r="B803" s="14" t="s">
        <v>777</v>
      </c>
      <c r="C803">
        <v>2400000</v>
      </c>
      <c r="D803">
        <v>1</v>
      </c>
      <c r="E803">
        <v>0</v>
      </c>
      <c r="F803">
        <v>0</v>
      </c>
      <c r="G803">
        <v>0</v>
      </c>
      <c r="H803">
        <v>0</v>
      </c>
      <c r="I803">
        <v>0</v>
      </c>
      <c r="J803" t="s">
        <v>843</v>
      </c>
    </row>
    <row r="804" spans="1:10" x14ac:dyDescent="0.3">
      <c r="A804" t="s">
        <v>96</v>
      </c>
      <c r="B804" s="14" t="s">
        <v>1189</v>
      </c>
      <c r="C804">
        <v>5500000</v>
      </c>
      <c r="D804">
        <v>1</v>
      </c>
      <c r="E804">
        <v>0</v>
      </c>
      <c r="F804">
        <v>0</v>
      </c>
      <c r="G804">
        <v>0</v>
      </c>
      <c r="H804">
        <v>0</v>
      </c>
      <c r="I804">
        <v>0</v>
      </c>
      <c r="J804" t="s">
        <v>843</v>
      </c>
    </row>
    <row r="805" spans="1:10" x14ac:dyDescent="0.3">
      <c r="A805" t="s">
        <v>96</v>
      </c>
      <c r="B805" s="14" t="s">
        <v>778</v>
      </c>
      <c r="C805">
        <v>2400000</v>
      </c>
      <c r="D805">
        <v>1</v>
      </c>
      <c r="E805">
        <v>0</v>
      </c>
      <c r="F805">
        <v>0</v>
      </c>
      <c r="G805">
        <v>0</v>
      </c>
      <c r="H805">
        <v>0</v>
      </c>
      <c r="I805">
        <v>0</v>
      </c>
      <c r="J805" t="s">
        <v>843</v>
      </c>
    </row>
    <row r="806" spans="1:10" x14ac:dyDescent="0.3">
      <c r="A806" t="s">
        <v>96</v>
      </c>
      <c r="B806" s="14" t="s">
        <v>1190</v>
      </c>
      <c r="C806">
        <v>2790000</v>
      </c>
      <c r="D806">
        <v>1</v>
      </c>
      <c r="E806">
        <v>0</v>
      </c>
      <c r="F806">
        <v>0</v>
      </c>
      <c r="G806">
        <v>0</v>
      </c>
      <c r="H806">
        <v>0</v>
      </c>
      <c r="I806">
        <v>0</v>
      </c>
      <c r="J806" t="s">
        <v>843</v>
      </c>
    </row>
    <row r="807" spans="1:10" x14ac:dyDescent="0.3">
      <c r="A807" t="s">
        <v>96</v>
      </c>
      <c r="B807" s="14" t="s">
        <v>780</v>
      </c>
      <c r="C807">
        <v>3199000</v>
      </c>
      <c r="D807">
        <v>0</v>
      </c>
      <c r="E807">
        <v>0</v>
      </c>
      <c r="F807">
        <v>0</v>
      </c>
      <c r="G807">
        <v>0</v>
      </c>
      <c r="H807">
        <v>0</v>
      </c>
      <c r="I807">
        <v>0</v>
      </c>
      <c r="J807" t="s">
        <v>848</v>
      </c>
    </row>
    <row r="808" spans="1:10" x14ac:dyDescent="0.3">
      <c r="A808" t="s">
        <v>96</v>
      </c>
      <c r="B808" s="14" t="s">
        <v>1191</v>
      </c>
      <c r="C808">
        <v>13990000</v>
      </c>
      <c r="D808">
        <v>6</v>
      </c>
      <c r="E808">
        <v>0</v>
      </c>
      <c r="F808">
        <v>0</v>
      </c>
      <c r="G808">
        <v>0</v>
      </c>
      <c r="H808">
        <v>0</v>
      </c>
      <c r="I808">
        <v>0</v>
      </c>
      <c r="J808" t="s">
        <v>843</v>
      </c>
    </row>
    <row r="809" spans="1:10" x14ac:dyDescent="0.3">
      <c r="A809" t="s">
        <v>96</v>
      </c>
      <c r="B809" s="14" t="s">
        <v>1192</v>
      </c>
      <c r="C809">
        <v>11500000</v>
      </c>
      <c r="D809">
        <v>1</v>
      </c>
      <c r="E809">
        <v>0</v>
      </c>
      <c r="F809">
        <v>0</v>
      </c>
      <c r="G809">
        <v>1</v>
      </c>
      <c r="H809">
        <v>0</v>
      </c>
      <c r="I809">
        <v>0</v>
      </c>
      <c r="J809" t="s">
        <v>843</v>
      </c>
    </row>
    <row r="810" spans="1:10" x14ac:dyDescent="0.3">
      <c r="A810" t="s">
        <v>96</v>
      </c>
      <c r="B810" s="14" t="s">
        <v>1193</v>
      </c>
      <c r="C810">
        <v>7990000</v>
      </c>
      <c r="D810">
        <v>4</v>
      </c>
      <c r="E810">
        <v>0</v>
      </c>
      <c r="F810">
        <v>0</v>
      </c>
      <c r="G810">
        <v>1</v>
      </c>
      <c r="H810">
        <v>0</v>
      </c>
      <c r="I810">
        <v>0</v>
      </c>
      <c r="J810" t="s">
        <v>843</v>
      </c>
    </row>
    <row r="811" spans="1:10" x14ac:dyDescent="0.3">
      <c r="A811" t="s">
        <v>96</v>
      </c>
      <c r="B811" s="14" t="s">
        <v>396</v>
      </c>
      <c r="C811">
        <v>6800000</v>
      </c>
      <c r="D811">
        <v>0</v>
      </c>
      <c r="E811">
        <v>0</v>
      </c>
      <c r="F811">
        <v>0</v>
      </c>
      <c r="G811">
        <v>0</v>
      </c>
      <c r="H811">
        <v>0</v>
      </c>
      <c r="I811">
        <v>0</v>
      </c>
      <c r="J811" t="s">
        <v>848</v>
      </c>
    </row>
    <row r="812" spans="1:10" x14ac:dyDescent="0.3">
      <c r="A812" t="s">
        <v>96</v>
      </c>
      <c r="B812" s="14" t="s">
        <v>781</v>
      </c>
      <c r="D812">
        <v>1</v>
      </c>
      <c r="E812">
        <v>0</v>
      </c>
      <c r="F812">
        <v>0</v>
      </c>
      <c r="G812">
        <v>0</v>
      </c>
      <c r="H812">
        <v>0</v>
      </c>
      <c r="I812">
        <v>0</v>
      </c>
      <c r="J812" t="s">
        <v>843</v>
      </c>
    </row>
    <row r="813" spans="1:10" x14ac:dyDescent="0.3">
      <c r="A813" t="s">
        <v>96</v>
      </c>
      <c r="B813" s="14" t="s">
        <v>1194</v>
      </c>
      <c r="C813">
        <v>3000000</v>
      </c>
      <c r="D813">
        <v>2</v>
      </c>
      <c r="E813">
        <v>0</v>
      </c>
      <c r="F813">
        <v>0</v>
      </c>
      <c r="G813">
        <v>0</v>
      </c>
      <c r="H813">
        <v>0</v>
      </c>
      <c r="I813">
        <v>0</v>
      </c>
      <c r="J813" t="s">
        <v>843</v>
      </c>
    </row>
    <row r="814" spans="1:10" x14ac:dyDescent="0.3">
      <c r="A814" t="s">
        <v>96</v>
      </c>
      <c r="B814" s="14" t="s">
        <v>1195</v>
      </c>
      <c r="C814">
        <v>5990000</v>
      </c>
      <c r="D814">
        <v>2</v>
      </c>
      <c r="E814">
        <v>0</v>
      </c>
      <c r="F814">
        <v>0</v>
      </c>
      <c r="G814">
        <v>0</v>
      </c>
      <c r="H814">
        <v>0</v>
      </c>
      <c r="I814">
        <v>0</v>
      </c>
      <c r="J814" t="s">
        <v>843</v>
      </c>
    </row>
    <row r="815" spans="1:10" x14ac:dyDescent="0.3">
      <c r="A815" t="s">
        <v>96</v>
      </c>
      <c r="B815" s="14" t="s">
        <v>783</v>
      </c>
      <c r="C815">
        <v>4500000</v>
      </c>
      <c r="D815">
        <v>3</v>
      </c>
      <c r="E815">
        <v>0</v>
      </c>
      <c r="F815">
        <v>0</v>
      </c>
      <c r="G815">
        <v>0</v>
      </c>
      <c r="H815">
        <v>0</v>
      </c>
      <c r="I815">
        <v>0</v>
      </c>
      <c r="J815" t="s">
        <v>843</v>
      </c>
    </row>
    <row r="816" spans="1:10" x14ac:dyDescent="0.3">
      <c r="A816" t="s">
        <v>96</v>
      </c>
      <c r="B816" s="14" t="s">
        <v>1196</v>
      </c>
      <c r="C816">
        <v>5490000</v>
      </c>
      <c r="D816">
        <v>2</v>
      </c>
      <c r="E816">
        <v>0</v>
      </c>
      <c r="F816">
        <v>0</v>
      </c>
      <c r="G816">
        <v>0</v>
      </c>
      <c r="H816">
        <v>0</v>
      </c>
      <c r="I816">
        <v>0</v>
      </c>
      <c r="J816" t="s">
        <v>843</v>
      </c>
    </row>
    <row r="817" spans="1:10" x14ac:dyDescent="0.3">
      <c r="A817" t="s">
        <v>96</v>
      </c>
      <c r="B817" s="14" t="s">
        <v>1197</v>
      </c>
      <c r="C817">
        <v>6000000</v>
      </c>
      <c r="D817">
        <v>3</v>
      </c>
      <c r="E817">
        <v>0</v>
      </c>
      <c r="F817">
        <v>0</v>
      </c>
      <c r="G817">
        <v>0</v>
      </c>
      <c r="H817">
        <v>0</v>
      </c>
      <c r="I817">
        <v>0</v>
      </c>
      <c r="J817" t="s">
        <v>843</v>
      </c>
    </row>
    <row r="818" spans="1:10" x14ac:dyDescent="0.3">
      <c r="A818" t="s">
        <v>96</v>
      </c>
      <c r="B818" s="14" t="s">
        <v>1198</v>
      </c>
      <c r="C818">
        <v>6000000</v>
      </c>
      <c r="D818">
        <v>1</v>
      </c>
      <c r="E818">
        <v>0</v>
      </c>
      <c r="F818">
        <v>0</v>
      </c>
      <c r="G818">
        <v>0</v>
      </c>
      <c r="H818">
        <v>0</v>
      </c>
      <c r="I818">
        <v>0</v>
      </c>
      <c r="J818" t="s">
        <v>843</v>
      </c>
    </row>
    <row r="819" spans="1:10" x14ac:dyDescent="0.3">
      <c r="A819" t="s">
        <v>96</v>
      </c>
      <c r="B819" s="14" t="s">
        <v>1199</v>
      </c>
      <c r="C819">
        <v>4500000</v>
      </c>
      <c r="D819">
        <v>2</v>
      </c>
      <c r="E819">
        <v>0</v>
      </c>
      <c r="F819">
        <v>1</v>
      </c>
      <c r="G819">
        <v>1</v>
      </c>
      <c r="H819">
        <v>0</v>
      </c>
      <c r="I819">
        <v>0</v>
      </c>
      <c r="J819" t="s">
        <v>843</v>
      </c>
    </row>
    <row r="820" spans="1:10" x14ac:dyDescent="0.3">
      <c r="A820" t="s">
        <v>96</v>
      </c>
      <c r="B820" s="14" t="s">
        <v>1200</v>
      </c>
      <c r="C820">
        <v>6900000</v>
      </c>
      <c r="D820">
        <v>0</v>
      </c>
      <c r="E820">
        <v>0</v>
      </c>
      <c r="F820">
        <v>0</v>
      </c>
      <c r="G820">
        <v>1</v>
      </c>
      <c r="H820">
        <v>0</v>
      </c>
      <c r="I820">
        <v>0</v>
      </c>
      <c r="J820" t="s">
        <v>848</v>
      </c>
    </row>
    <row r="821" spans="1:10" x14ac:dyDescent="0.3">
      <c r="A821" t="s">
        <v>96</v>
      </c>
      <c r="B821" s="14" t="s">
        <v>1201</v>
      </c>
      <c r="C821">
        <v>4000000</v>
      </c>
      <c r="D821">
        <v>1</v>
      </c>
      <c r="E821">
        <v>1</v>
      </c>
      <c r="F821">
        <v>1</v>
      </c>
      <c r="G821">
        <v>1</v>
      </c>
      <c r="H821">
        <v>0</v>
      </c>
      <c r="I821">
        <v>0</v>
      </c>
      <c r="J821" t="s">
        <v>843</v>
      </c>
    </row>
    <row r="822" spans="1:10" x14ac:dyDescent="0.3">
      <c r="A822" t="s">
        <v>96</v>
      </c>
      <c r="B822" s="14" t="s">
        <v>786</v>
      </c>
      <c r="C822">
        <v>2000000</v>
      </c>
      <c r="D822">
        <v>1</v>
      </c>
      <c r="E822">
        <v>0</v>
      </c>
      <c r="F822">
        <v>0</v>
      </c>
      <c r="G822">
        <v>0</v>
      </c>
      <c r="H822">
        <v>0</v>
      </c>
      <c r="I822">
        <v>0</v>
      </c>
      <c r="J822" t="s">
        <v>843</v>
      </c>
    </row>
    <row r="823" spans="1:10" x14ac:dyDescent="0.3">
      <c r="A823" t="s">
        <v>96</v>
      </c>
      <c r="B823" s="14" t="s">
        <v>398</v>
      </c>
      <c r="C823">
        <v>2500000</v>
      </c>
      <c r="D823">
        <v>0</v>
      </c>
      <c r="E823">
        <v>0</v>
      </c>
      <c r="F823">
        <v>0</v>
      </c>
      <c r="G823">
        <v>0</v>
      </c>
      <c r="H823">
        <v>0</v>
      </c>
      <c r="I823">
        <v>0</v>
      </c>
      <c r="J823" t="s">
        <v>848</v>
      </c>
    </row>
    <row r="824" spans="1:10" x14ac:dyDescent="0.3">
      <c r="A824" t="s">
        <v>96</v>
      </c>
      <c r="B824" s="14" t="s">
        <v>1202</v>
      </c>
      <c r="C824">
        <v>2690000</v>
      </c>
      <c r="D824">
        <v>7</v>
      </c>
      <c r="E824">
        <v>0</v>
      </c>
      <c r="F824">
        <v>0</v>
      </c>
      <c r="G824">
        <v>0</v>
      </c>
      <c r="H824">
        <v>0</v>
      </c>
      <c r="I824">
        <v>0</v>
      </c>
      <c r="J824" t="s">
        <v>843</v>
      </c>
    </row>
    <row r="825" spans="1:10" x14ac:dyDescent="0.3">
      <c r="A825" t="s">
        <v>96</v>
      </c>
      <c r="B825" s="14" t="s">
        <v>1203</v>
      </c>
      <c r="C825">
        <v>25590000</v>
      </c>
      <c r="D825">
        <v>2</v>
      </c>
      <c r="E825">
        <v>0</v>
      </c>
      <c r="F825">
        <v>1</v>
      </c>
      <c r="G825">
        <v>2</v>
      </c>
      <c r="H825">
        <v>0</v>
      </c>
      <c r="I825">
        <v>0</v>
      </c>
      <c r="J825" t="s">
        <v>843</v>
      </c>
    </row>
    <row r="826" spans="1:10" x14ac:dyDescent="0.3">
      <c r="A826" t="s">
        <v>96</v>
      </c>
      <c r="B826" s="14" t="s">
        <v>1204</v>
      </c>
      <c r="C826">
        <v>20500000</v>
      </c>
      <c r="D826">
        <v>1</v>
      </c>
      <c r="E826">
        <v>0</v>
      </c>
      <c r="F826">
        <v>0</v>
      </c>
      <c r="G826">
        <v>0</v>
      </c>
      <c r="H826">
        <v>0</v>
      </c>
      <c r="I826">
        <v>0</v>
      </c>
      <c r="J826" t="s">
        <v>843</v>
      </c>
    </row>
    <row r="827" spans="1:10" x14ac:dyDescent="0.3">
      <c r="A827" t="s">
        <v>96</v>
      </c>
      <c r="B827" s="14" t="s">
        <v>788</v>
      </c>
      <c r="C827">
        <v>20500000</v>
      </c>
      <c r="D827">
        <v>1</v>
      </c>
      <c r="E827">
        <v>0</v>
      </c>
      <c r="F827">
        <v>0</v>
      </c>
      <c r="G827">
        <v>0</v>
      </c>
      <c r="H827">
        <v>0</v>
      </c>
      <c r="I827">
        <v>0</v>
      </c>
      <c r="J827" t="s">
        <v>843</v>
      </c>
    </row>
    <row r="828" spans="1:10" x14ac:dyDescent="0.3">
      <c r="A828" t="s">
        <v>215</v>
      </c>
      <c r="B828" s="14" t="s">
        <v>1205</v>
      </c>
      <c r="C828">
        <v>2100000</v>
      </c>
      <c r="D828">
        <v>0</v>
      </c>
      <c r="E828">
        <v>0</v>
      </c>
      <c r="F828">
        <v>0</v>
      </c>
      <c r="G828">
        <v>0</v>
      </c>
      <c r="H828">
        <v>0</v>
      </c>
      <c r="I828">
        <v>0</v>
      </c>
      <c r="J828" t="s">
        <v>848</v>
      </c>
    </row>
    <row r="829" spans="1:10" x14ac:dyDescent="0.3">
      <c r="A829" t="s">
        <v>215</v>
      </c>
      <c r="B829" s="14" t="s">
        <v>1206</v>
      </c>
      <c r="C829">
        <v>2000000</v>
      </c>
      <c r="D829">
        <v>1</v>
      </c>
      <c r="E829">
        <v>0</v>
      </c>
      <c r="F829">
        <v>0</v>
      </c>
      <c r="G829">
        <v>0</v>
      </c>
      <c r="H829">
        <v>0</v>
      </c>
      <c r="I829">
        <v>0</v>
      </c>
      <c r="J829" t="s">
        <v>843</v>
      </c>
    </row>
    <row r="830" spans="1:10" x14ac:dyDescent="0.3">
      <c r="A830" t="s">
        <v>215</v>
      </c>
      <c r="B830" s="14" t="s">
        <v>1207</v>
      </c>
      <c r="C830">
        <v>2500000</v>
      </c>
      <c r="D830">
        <v>0</v>
      </c>
      <c r="E830">
        <v>0</v>
      </c>
      <c r="F830">
        <v>0</v>
      </c>
      <c r="G830">
        <v>0</v>
      </c>
      <c r="H830">
        <v>0</v>
      </c>
      <c r="I830">
        <v>0</v>
      </c>
      <c r="J830" t="s">
        <v>848</v>
      </c>
    </row>
    <row r="831" spans="1:10" x14ac:dyDescent="0.3">
      <c r="A831" t="s">
        <v>215</v>
      </c>
      <c r="B831" s="14" t="s">
        <v>1208</v>
      </c>
      <c r="C831">
        <v>2290000</v>
      </c>
      <c r="D831">
        <v>0</v>
      </c>
      <c r="E831">
        <v>0</v>
      </c>
      <c r="F831">
        <v>0</v>
      </c>
      <c r="G831">
        <v>0</v>
      </c>
      <c r="H831">
        <v>0</v>
      </c>
      <c r="I831">
        <v>0</v>
      </c>
      <c r="J831" t="s">
        <v>843</v>
      </c>
    </row>
    <row r="832" spans="1:10" x14ac:dyDescent="0.3">
      <c r="A832" t="s">
        <v>98</v>
      </c>
      <c r="B832" s="14" t="s">
        <v>1209</v>
      </c>
      <c r="C832">
        <v>2800000</v>
      </c>
      <c r="D832">
        <v>1</v>
      </c>
      <c r="E832">
        <v>0</v>
      </c>
      <c r="F832">
        <v>0</v>
      </c>
      <c r="G832">
        <v>0</v>
      </c>
      <c r="H832">
        <v>0</v>
      </c>
      <c r="I832">
        <v>0</v>
      </c>
      <c r="J832" t="s">
        <v>843</v>
      </c>
    </row>
    <row r="833" spans="1:10" x14ac:dyDescent="0.3">
      <c r="A833" t="s">
        <v>98</v>
      </c>
      <c r="B833" s="14" t="s">
        <v>1210</v>
      </c>
      <c r="D833">
        <v>0</v>
      </c>
      <c r="E833">
        <v>0</v>
      </c>
      <c r="F833">
        <v>0</v>
      </c>
      <c r="G833">
        <v>0</v>
      </c>
      <c r="H833">
        <v>0</v>
      </c>
      <c r="I833">
        <v>0</v>
      </c>
      <c r="J833" t="s">
        <v>848</v>
      </c>
    </row>
    <row r="834" spans="1:10" x14ac:dyDescent="0.3">
      <c r="A834" t="s">
        <v>98</v>
      </c>
      <c r="B834" s="14" t="s">
        <v>401</v>
      </c>
      <c r="C834">
        <v>2000000</v>
      </c>
      <c r="D834">
        <v>0</v>
      </c>
      <c r="E834">
        <v>0</v>
      </c>
      <c r="F834">
        <v>0</v>
      </c>
      <c r="G834">
        <v>0</v>
      </c>
      <c r="H834">
        <v>0</v>
      </c>
      <c r="I834">
        <v>0</v>
      </c>
      <c r="J834" t="s">
        <v>848</v>
      </c>
    </row>
    <row r="835" spans="1:10" x14ac:dyDescent="0.3">
      <c r="A835" t="s">
        <v>98</v>
      </c>
      <c r="B835" s="14" t="s">
        <v>1211</v>
      </c>
      <c r="C835">
        <v>2790000</v>
      </c>
      <c r="D835">
        <v>0</v>
      </c>
      <c r="E835">
        <v>2</v>
      </c>
      <c r="F835">
        <v>6</v>
      </c>
      <c r="G835">
        <v>10</v>
      </c>
      <c r="H835">
        <v>0</v>
      </c>
      <c r="I835">
        <v>1</v>
      </c>
      <c r="J835" t="s">
        <v>848</v>
      </c>
    </row>
    <row r="836" spans="1:10" x14ac:dyDescent="0.3">
      <c r="A836" t="s">
        <v>98</v>
      </c>
      <c r="B836" s="14" t="s">
        <v>1212</v>
      </c>
      <c r="C836">
        <v>2300000</v>
      </c>
      <c r="D836">
        <v>0</v>
      </c>
      <c r="E836">
        <v>0</v>
      </c>
      <c r="F836">
        <v>1</v>
      </c>
      <c r="G836">
        <v>2</v>
      </c>
      <c r="H836">
        <v>0</v>
      </c>
      <c r="I836">
        <v>0</v>
      </c>
      <c r="J836" t="s">
        <v>848</v>
      </c>
    </row>
    <row r="837" spans="1:10" x14ac:dyDescent="0.3">
      <c r="A837" t="s">
        <v>98</v>
      </c>
      <c r="B837" s="14" t="s">
        <v>1213</v>
      </c>
      <c r="C837">
        <v>3090000</v>
      </c>
      <c r="D837">
        <v>6</v>
      </c>
      <c r="E837">
        <v>1</v>
      </c>
      <c r="F837">
        <v>2</v>
      </c>
      <c r="G837">
        <v>5</v>
      </c>
      <c r="H837">
        <v>0</v>
      </c>
      <c r="I837">
        <v>0</v>
      </c>
      <c r="J837" t="s">
        <v>843</v>
      </c>
    </row>
    <row r="838" spans="1:10" x14ac:dyDescent="0.3">
      <c r="A838" t="s">
        <v>98</v>
      </c>
      <c r="B838" s="14" t="s">
        <v>1214</v>
      </c>
      <c r="C838">
        <v>850000</v>
      </c>
      <c r="D838">
        <v>6</v>
      </c>
      <c r="E838">
        <v>0</v>
      </c>
      <c r="F838">
        <v>0</v>
      </c>
      <c r="G838">
        <v>0</v>
      </c>
      <c r="H838">
        <v>0</v>
      </c>
      <c r="I838">
        <v>0</v>
      </c>
      <c r="J838" t="s">
        <v>843</v>
      </c>
    </row>
    <row r="839" spans="1:10" x14ac:dyDescent="0.3">
      <c r="A839" t="s">
        <v>98</v>
      </c>
      <c r="B839" s="14" t="s">
        <v>428</v>
      </c>
      <c r="C839">
        <v>1290000</v>
      </c>
      <c r="D839">
        <v>1</v>
      </c>
      <c r="E839">
        <v>0</v>
      </c>
      <c r="F839">
        <v>1</v>
      </c>
      <c r="G839">
        <v>1</v>
      </c>
      <c r="H839">
        <v>0</v>
      </c>
      <c r="I839">
        <v>0</v>
      </c>
      <c r="J839" t="s">
        <v>843</v>
      </c>
    </row>
    <row r="840" spans="1:10" x14ac:dyDescent="0.3">
      <c r="A840" t="s">
        <v>98</v>
      </c>
      <c r="B840" s="14" t="s">
        <v>1215</v>
      </c>
      <c r="C840">
        <v>650000</v>
      </c>
      <c r="D840">
        <v>0</v>
      </c>
      <c r="E840">
        <v>0</v>
      </c>
      <c r="F840">
        <v>0</v>
      </c>
      <c r="G840">
        <v>0</v>
      </c>
      <c r="H840">
        <v>0</v>
      </c>
      <c r="I840">
        <v>0</v>
      </c>
      <c r="J840" t="s">
        <v>848</v>
      </c>
    </row>
    <row r="841" spans="1:10" x14ac:dyDescent="0.3">
      <c r="A841" t="s">
        <v>98</v>
      </c>
      <c r="B841" s="14" t="s">
        <v>1215</v>
      </c>
      <c r="C841">
        <v>750000</v>
      </c>
      <c r="D841">
        <v>1</v>
      </c>
      <c r="E841">
        <v>0</v>
      </c>
      <c r="F841">
        <v>0</v>
      </c>
      <c r="G841">
        <v>0</v>
      </c>
      <c r="H841">
        <v>0</v>
      </c>
      <c r="I841">
        <v>0</v>
      </c>
      <c r="J841" t="s">
        <v>843</v>
      </c>
    </row>
    <row r="842" spans="1:10" x14ac:dyDescent="0.3">
      <c r="A842" t="s">
        <v>98</v>
      </c>
      <c r="B842" s="14" t="s">
        <v>1216</v>
      </c>
      <c r="C842">
        <v>1550000</v>
      </c>
      <c r="D842">
        <v>2</v>
      </c>
      <c r="E842">
        <v>0</v>
      </c>
      <c r="F842">
        <v>0</v>
      </c>
      <c r="G842">
        <v>1</v>
      </c>
      <c r="H842">
        <v>0</v>
      </c>
      <c r="I842">
        <v>0</v>
      </c>
      <c r="J842" t="s">
        <v>843</v>
      </c>
    </row>
    <row r="843" spans="1:10" x14ac:dyDescent="0.3">
      <c r="A843" t="s">
        <v>98</v>
      </c>
      <c r="B843" s="14" t="s">
        <v>1217</v>
      </c>
      <c r="C843">
        <v>1200000</v>
      </c>
      <c r="D843">
        <v>0</v>
      </c>
      <c r="E843">
        <v>0</v>
      </c>
      <c r="F843">
        <v>0</v>
      </c>
      <c r="G843">
        <v>1</v>
      </c>
      <c r="H843">
        <v>0</v>
      </c>
      <c r="I843">
        <v>0</v>
      </c>
      <c r="J843" t="s">
        <v>848</v>
      </c>
    </row>
    <row r="844" spans="1:10" x14ac:dyDescent="0.3">
      <c r="A844" t="s">
        <v>98</v>
      </c>
      <c r="B844" s="14" t="s">
        <v>1218</v>
      </c>
      <c r="C844">
        <v>1790000</v>
      </c>
      <c r="D844">
        <v>7</v>
      </c>
      <c r="E844">
        <v>-1</v>
      </c>
      <c r="F844">
        <v>1</v>
      </c>
      <c r="G844">
        <v>7</v>
      </c>
      <c r="H844">
        <v>0</v>
      </c>
      <c r="I844">
        <v>0</v>
      </c>
      <c r="J844" t="s">
        <v>843</v>
      </c>
    </row>
    <row r="845" spans="1:10" x14ac:dyDescent="0.3">
      <c r="A845" t="s">
        <v>98</v>
      </c>
      <c r="B845" s="14" t="s">
        <v>1219</v>
      </c>
      <c r="C845">
        <v>1400000</v>
      </c>
      <c r="D845">
        <v>0</v>
      </c>
      <c r="E845">
        <v>0</v>
      </c>
      <c r="F845">
        <v>1</v>
      </c>
      <c r="G845">
        <v>1</v>
      </c>
      <c r="H845">
        <v>0</v>
      </c>
      <c r="I845">
        <v>0</v>
      </c>
      <c r="J845" t="s">
        <v>848</v>
      </c>
    </row>
    <row r="846" spans="1:10" x14ac:dyDescent="0.3">
      <c r="A846" t="s">
        <v>98</v>
      </c>
      <c r="B846" s="14" t="s">
        <v>1220</v>
      </c>
      <c r="C846">
        <v>2390000</v>
      </c>
      <c r="D846">
        <v>3</v>
      </c>
      <c r="E846">
        <v>0</v>
      </c>
      <c r="F846">
        <v>0</v>
      </c>
      <c r="G846">
        <v>2</v>
      </c>
      <c r="H846">
        <v>0</v>
      </c>
      <c r="I846">
        <v>0</v>
      </c>
      <c r="J846" t="s">
        <v>843</v>
      </c>
    </row>
    <row r="847" spans="1:10" x14ac:dyDescent="0.3">
      <c r="A847" t="s">
        <v>98</v>
      </c>
      <c r="B847" s="14" t="s">
        <v>1221</v>
      </c>
      <c r="C847">
        <v>2390000</v>
      </c>
      <c r="D847">
        <v>2</v>
      </c>
      <c r="E847">
        <v>0</v>
      </c>
      <c r="F847">
        <v>0</v>
      </c>
      <c r="G847">
        <v>0</v>
      </c>
      <c r="H847">
        <v>0</v>
      </c>
      <c r="I847">
        <v>0</v>
      </c>
      <c r="J847" t="s">
        <v>843</v>
      </c>
    </row>
    <row r="848" spans="1:10" x14ac:dyDescent="0.3">
      <c r="A848" t="s">
        <v>98</v>
      </c>
      <c r="B848" s="14" t="s">
        <v>686</v>
      </c>
      <c r="D848">
        <v>1</v>
      </c>
      <c r="E848">
        <v>0</v>
      </c>
      <c r="F848">
        <v>0</v>
      </c>
      <c r="G848">
        <v>0</v>
      </c>
      <c r="H848">
        <v>0</v>
      </c>
      <c r="I848">
        <v>0</v>
      </c>
      <c r="J848" t="s">
        <v>843</v>
      </c>
    </row>
    <row r="849" spans="1:10" x14ac:dyDescent="0.3">
      <c r="A849" t="s">
        <v>98</v>
      </c>
      <c r="B849" s="14" t="s">
        <v>1222</v>
      </c>
      <c r="C849">
        <v>3190000</v>
      </c>
      <c r="D849">
        <v>0</v>
      </c>
      <c r="E849">
        <v>0</v>
      </c>
      <c r="F849">
        <v>0</v>
      </c>
      <c r="G849">
        <v>1</v>
      </c>
      <c r="H849">
        <v>0</v>
      </c>
      <c r="I849">
        <v>0</v>
      </c>
      <c r="J849" t="s">
        <v>848</v>
      </c>
    </row>
    <row r="850" spans="1:10" x14ac:dyDescent="0.3">
      <c r="A850" t="s">
        <v>98</v>
      </c>
      <c r="B850" s="14" t="s">
        <v>1223</v>
      </c>
      <c r="C850">
        <v>2600000</v>
      </c>
      <c r="D850">
        <v>0</v>
      </c>
      <c r="E850">
        <v>0</v>
      </c>
      <c r="F850">
        <v>1</v>
      </c>
      <c r="G850">
        <v>1</v>
      </c>
      <c r="H850">
        <v>0</v>
      </c>
      <c r="I850">
        <v>0</v>
      </c>
      <c r="J850" t="s">
        <v>848</v>
      </c>
    </row>
    <row r="851" spans="1:10" x14ac:dyDescent="0.3">
      <c r="A851" t="s">
        <v>98</v>
      </c>
      <c r="B851" s="14" t="s">
        <v>1224</v>
      </c>
      <c r="C851">
        <v>1090000</v>
      </c>
      <c r="D851">
        <v>4</v>
      </c>
      <c r="E851">
        <v>0</v>
      </c>
      <c r="F851">
        <v>1</v>
      </c>
      <c r="G851">
        <v>3</v>
      </c>
      <c r="H851">
        <v>0</v>
      </c>
      <c r="I851">
        <v>0</v>
      </c>
      <c r="J851" t="s">
        <v>843</v>
      </c>
    </row>
    <row r="852" spans="1:10" x14ac:dyDescent="0.3">
      <c r="A852" t="s">
        <v>98</v>
      </c>
      <c r="B852" s="14" t="s">
        <v>1225</v>
      </c>
      <c r="C852">
        <v>1450000</v>
      </c>
      <c r="D852">
        <v>3</v>
      </c>
      <c r="E852">
        <v>0</v>
      </c>
      <c r="F852">
        <v>1</v>
      </c>
      <c r="G852">
        <v>4</v>
      </c>
      <c r="H852">
        <v>0</v>
      </c>
      <c r="I852">
        <v>0</v>
      </c>
      <c r="J852" t="s">
        <v>843</v>
      </c>
    </row>
    <row r="853" spans="1:10" x14ac:dyDescent="0.3">
      <c r="A853" t="s">
        <v>98</v>
      </c>
      <c r="B853" s="14" t="s">
        <v>790</v>
      </c>
      <c r="C853">
        <v>900000</v>
      </c>
      <c r="D853">
        <v>0</v>
      </c>
      <c r="E853">
        <v>0</v>
      </c>
      <c r="F853">
        <v>0</v>
      </c>
      <c r="G853">
        <v>0</v>
      </c>
      <c r="H853">
        <v>0</v>
      </c>
      <c r="I853">
        <v>0</v>
      </c>
      <c r="J853" t="s">
        <v>843</v>
      </c>
    </row>
    <row r="854" spans="1:10" x14ac:dyDescent="0.3">
      <c r="A854" t="s">
        <v>98</v>
      </c>
      <c r="B854" s="14" t="s">
        <v>1226</v>
      </c>
      <c r="C854">
        <v>1000000</v>
      </c>
      <c r="D854">
        <v>1</v>
      </c>
      <c r="E854">
        <v>0</v>
      </c>
      <c r="F854">
        <v>0</v>
      </c>
      <c r="G854">
        <v>0</v>
      </c>
      <c r="H854">
        <v>0</v>
      </c>
      <c r="I854">
        <v>0</v>
      </c>
      <c r="J854" t="s">
        <v>843</v>
      </c>
    </row>
    <row r="855" spans="1:10" x14ac:dyDescent="0.3">
      <c r="A855" t="s">
        <v>142</v>
      </c>
      <c r="B855" s="14" t="s">
        <v>793</v>
      </c>
      <c r="C855">
        <v>5000000</v>
      </c>
      <c r="D855">
        <v>0</v>
      </c>
      <c r="E855">
        <v>0</v>
      </c>
      <c r="F855">
        <v>0</v>
      </c>
      <c r="G855">
        <v>0</v>
      </c>
      <c r="H855">
        <v>0</v>
      </c>
      <c r="I855">
        <v>0</v>
      </c>
      <c r="J855" t="s">
        <v>848</v>
      </c>
    </row>
    <row r="856" spans="1:10" x14ac:dyDescent="0.3">
      <c r="A856" t="s">
        <v>142</v>
      </c>
      <c r="B856" s="14" t="s">
        <v>1227</v>
      </c>
      <c r="C856">
        <v>6000000</v>
      </c>
      <c r="D856">
        <v>0</v>
      </c>
      <c r="E856">
        <v>0</v>
      </c>
      <c r="F856">
        <v>0</v>
      </c>
      <c r="G856">
        <v>0</v>
      </c>
      <c r="H856">
        <v>0</v>
      </c>
      <c r="I856">
        <v>0</v>
      </c>
      <c r="J856" t="s">
        <v>848</v>
      </c>
    </row>
    <row r="857" spans="1:10" x14ac:dyDescent="0.3">
      <c r="A857" t="s">
        <v>142</v>
      </c>
      <c r="B857" s="14" t="s">
        <v>1228</v>
      </c>
      <c r="C857">
        <v>8600000</v>
      </c>
      <c r="D857">
        <v>0</v>
      </c>
      <c r="E857">
        <v>0</v>
      </c>
      <c r="F857">
        <v>0</v>
      </c>
      <c r="G857">
        <v>0</v>
      </c>
      <c r="H857">
        <v>0</v>
      </c>
      <c r="I857">
        <v>0</v>
      </c>
      <c r="J857" t="s">
        <v>848</v>
      </c>
    </row>
    <row r="858" spans="1:10" x14ac:dyDescent="0.3">
      <c r="A858" t="s">
        <v>142</v>
      </c>
      <c r="B858" s="14" t="s">
        <v>1229</v>
      </c>
      <c r="C858">
        <v>6000000</v>
      </c>
      <c r="D858">
        <v>1</v>
      </c>
      <c r="E858">
        <v>0</v>
      </c>
      <c r="F858">
        <v>0</v>
      </c>
      <c r="G858">
        <v>0</v>
      </c>
      <c r="H858">
        <v>0</v>
      </c>
      <c r="I858">
        <v>0</v>
      </c>
      <c r="J858" t="s">
        <v>843</v>
      </c>
    </row>
    <row r="859" spans="1:10" x14ac:dyDescent="0.3">
      <c r="A859" t="s">
        <v>142</v>
      </c>
      <c r="B859" s="14" t="s">
        <v>1230</v>
      </c>
      <c r="C859">
        <v>1500000</v>
      </c>
      <c r="D859">
        <v>0</v>
      </c>
      <c r="E859">
        <v>0</v>
      </c>
      <c r="F859">
        <v>1</v>
      </c>
      <c r="G859">
        <v>1</v>
      </c>
      <c r="H859">
        <v>0</v>
      </c>
      <c r="I859">
        <v>0</v>
      </c>
      <c r="J859" t="s">
        <v>848</v>
      </c>
    </row>
    <row r="860" spans="1:10" x14ac:dyDescent="0.3">
      <c r="A860" t="s">
        <v>142</v>
      </c>
      <c r="B860" s="14" t="s">
        <v>1230</v>
      </c>
      <c r="C860">
        <v>2500000</v>
      </c>
      <c r="D860">
        <v>0</v>
      </c>
      <c r="E860">
        <v>0</v>
      </c>
      <c r="F860">
        <v>0</v>
      </c>
      <c r="G860">
        <v>0</v>
      </c>
      <c r="H860">
        <v>0</v>
      </c>
      <c r="I860">
        <v>0</v>
      </c>
      <c r="J860" t="s">
        <v>848</v>
      </c>
    </row>
    <row r="861" spans="1:10" x14ac:dyDescent="0.3">
      <c r="A861" t="s">
        <v>142</v>
      </c>
      <c r="B861" s="14" t="s">
        <v>1231</v>
      </c>
      <c r="C861">
        <v>4000000</v>
      </c>
      <c r="D861">
        <v>1</v>
      </c>
      <c r="E861">
        <v>0</v>
      </c>
      <c r="F861">
        <v>0</v>
      </c>
      <c r="G861">
        <v>0</v>
      </c>
      <c r="H861">
        <v>0</v>
      </c>
      <c r="I861">
        <v>0</v>
      </c>
      <c r="J861" t="s">
        <v>843</v>
      </c>
    </row>
    <row r="862" spans="1:10" x14ac:dyDescent="0.3">
      <c r="A862" t="s">
        <v>142</v>
      </c>
      <c r="B862" s="14" t="s">
        <v>797</v>
      </c>
      <c r="C862">
        <v>4990000</v>
      </c>
      <c r="D862">
        <v>1</v>
      </c>
      <c r="E862">
        <v>0</v>
      </c>
      <c r="F862">
        <v>0</v>
      </c>
      <c r="G862">
        <v>0</v>
      </c>
      <c r="H862">
        <v>0</v>
      </c>
      <c r="I862">
        <v>0</v>
      </c>
      <c r="J862" t="s">
        <v>843</v>
      </c>
    </row>
    <row r="863" spans="1:10" x14ac:dyDescent="0.3">
      <c r="A863" t="s">
        <v>142</v>
      </c>
      <c r="B863" s="14" t="s">
        <v>798</v>
      </c>
      <c r="C863">
        <v>4400000</v>
      </c>
      <c r="D863">
        <v>1</v>
      </c>
      <c r="E863">
        <v>0</v>
      </c>
      <c r="F863">
        <v>0</v>
      </c>
      <c r="G863">
        <v>0</v>
      </c>
      <c r="H863">
        <v>0</v>
      </c>
      <c r="I863">
        <v>0</v>
      </c>
      <c r="J863" t="s">
        <v>843</v>
      </c>
    </row>
    <row r="864" spans="1:10" x14ac:dyDescent="0.3">
      <c r="A864" t="s">
        <v>142</v>
      </c>
      <c r="B864" s="14" t="s">
        <v>1232</v>
      </c>
      <c r="C864">
        <v>7400000</v>
      </c>
      <c r="D864">
        <v>1</v>
      </c>
      <c r="E864">
        <v>0</v>
      </c>
      <c r="F864">
        <v>0</v>
      </c>
      <c r="G864">
        <v>0</v>
      </c>
      <c r="H864">
        <v>0</v>
      </c>
      <c r="I864">
        <v>0</v>
      </c>
      <c r="J864" t="s">
        <v>843</v>
      </c>
    </row>
    <row r="865" spans="1:10" x14ac:dyDescent="0.3">
      <c r="A865" t="s">
        <v>142</v>
      </c>
      <c r="B865" s="14" t="s">
        <v>1232</v>
      </c>
      <c r="C865">
        <v>7000000</v>
      </c>
      <c r="D865">
        <v>0</v>
      </c>
      <c r="E865">
        <v>0</v>
      </c>
      <c r="F865">
        <v>0</v>
      </c>
      <c r="G865">
        <v>0</v>
      </c>
      <c r="H865">
        <v>0</v>
      </c>
      <c r="I865">
        <v>0</v>
      </c>
      <c r="J865" t="s">
        <v>848</v>
      </c>
    </row>
    <row r="866" spans="1:10" x14ac:dyDescent="0.3">
      <c r="A866" t="s">
        <v>142</v>
      </c>
      <c r="B866" s="14" t="s">
        <v>1233</v>
      </c>
      <c r="C866">
        <v>7790000</v>
      </c>
      <c r="D866">
        <v>1</v>
      </c>
      <c r="E866">
        <v>0</v>
      </c>
      <c r="F866">
        <v>1</v>
      </c>
      <c r="G866">
        <v>3</v>
      </c>
      <c r="H866">
        <v>0</v>
      </c>
      <c r="I866">
        <v>0</v>
      </c>
      <c r="J866" t="s">
        <v>843</v>
      </c>
    </row>
    <row r="867" spans="1:10" x14ac:dyDescent="0.3">
      <c r="A867" t="s">
        <v>142</v>
      </c>
      <c r="B867" s="14" t="s">
        <v>1234</v>
      </c>
      <c r="C867">
        <v>7090000</v>
      </c>
      <c r="D867">
        <v>5</v>
      </c>
      <c r="E867">
        <v>0</v>
      </c>
      <c r="F867">
        <v>1</v>
      </c>
      <c r="G867">
        <v>2</v>
      </c>
      <c r="H867">
        <v>0</v>
      </c>
      <c r="I867">
        <v>0</v>
      </c>
      <c r="J867" t="s">
        <v>843</v>
      </c>
    </row>
    <row r="868" spans="1:10" x14ac:dyDescent="0.3">
      <c r="A868" t="s">
        <v>142</v>
      </c>
      <c r="B868" s="14" t="s">
        <v>1235</v>
      </c>
      <c r="C868">
        <v>11490000</v>
      </c>
      <c r="D868">
        <v>2</v>
      </c>
      <c r="E868">
        <v>0</v>
      </c>
      <c r="F868">
        <v>0</v>
      </c>
      <c r="G868">
        <v>2</v>
      </c>
      <c r="H868">
        <v>0</v>
      </c>
      <c r="I868">
        <v>0</v>
      </c>
      <c r="J868" t="s">
        <v>843</v>
      </c>
    </row>
    <row r="869" spans="1:10" x14ac:dyDescent="0.3">
      <c r="A869" t="s">
        <v>142</v>
      </c>
      <c r="B869" s="14" t="s">
        <v>1235</v>
      </c>
      <c r="C869">
        <v>9500000</v>
      </c>
      <c r="D869">
        <v>0</v>
      </c>
      <c r="E869">
        <v>1</v>
      </c>
      <c r="F869">
        <v>1</v>
      </c>
      <c r="G869">
        <v>1</v>
      </c>
      <c r="H869">
        <v>0</v>
      </c>
      <c r="I869">
        <v>0</v>
      </c>
      <c r="J869" t="s">
        <v>848</v>
      </c>
    </row>
    <row r="870" spans="1:10" x14ac:dyDescent="0.3">
      <c r="A870" t="s">
        <v>142</v>
      </c>
      <c r="B870" s="14" t="s">
        <v>1236</v>
      </c>
      <c r="C870">
        <v>10000000</v>
      </c>
      <c r="D870">
        <v>2</v>
      </c>
      <c r="E870">
        <v>0</v>
      </c>
      <c r="F870">
        <v>0</v>
      </c>
      <c r="G870">
        <v>1</v>
      </c>
      <c r="H870">
        <v>0</v>
      </c>
      <c r="I870">
        <v>0</v>
      </c>
      <c r="J870" t="s">
        <v>843</v>
      </c>
    </row>
    <row r="871" spans="1:10" x14ac:dyDescent="0.3">
      <c r="A871" t="s">
        <v>142</v>
      </c>
      <c r="B871" s="14" t="s">
        <v>1237</v>
      </c>
      <c r="C871">
        <v>6590000</v>
      </c>
      <c r="D871">
        <v>0</v>
      </c>
      <c r="E871">
        <v>0</v>
      </c>
      <c r="F871">
        <v>0</v>
      </c>
      <c r="G871">
        <v>1</v>
      </c>
      <c r="H871">
        <v>0</v>
      </c>
      <c r="I871">
        <v>0</v>
      </c>
      <c r="J871" t="s">
        <v>848</v>
      </c>
    </row>
    <row r="872" spans="1:10" x14ac:dyDescent="0.3">
      <c r="A872" t="s">
        <v>142</v>
      </c>
      <c r="B872" s="14" t="s">
        <v>800</v>
      </c>
      <c r="C872">
        <v>700000</v>
      </c>
      <c r="D872">
        <v>0</v>
      </c>
      <c r="E872">
        <v>0</v>
      </c>
      <c r="F872">
        <v>0</v>
      </c>
      <c r="G872">
        <v>0</v>
      </c>
      <c r="H872">
        <v>0</v>
      </c>
      <c r="I872">
        <v>0</v>
      </c>
      <c r="J872" t="s">
        <v>848</v>
      </c>
    </row>
    <row r="873" spans="1:10" x14ac:dyDescent="0.3">
      <c r="A873" t="s">
        <v>142</v>
      </c>
      <c r="B873" s="14" t="s">
        <v>1238</v>
      </c>
      <c r="C873">
        <v>1200000</v>
      </c>
      <c r="D873">
        <v>0</v>
      </c>
      <c r="E873">
        <v>0</v>
      </c>
      <c r="F873">
        <v>0</v>
      </c>
      <c r="G873">
        <v>0</v>
      </c>
      <c r="H873">
        <v>0</v>
      </c>
      <c r="I873">
        <v>0</v>
      </c>
      <c r="J873" t="s">
        <v>848</v>
      </c>
    </row>
    <row r="874" spans="1:10" x14ac:dyDescent="0.3">
      <c r="A874" t="s">
        <v>142</v>
      </c>
      <c r="B874" s="14" t="s">
        <v>1239</v>
      </c>
      <c r="C874">
        <v>2000000</v>
      </c>
      <c r="D874">
        <v>1</v>
      </c>
      <c r="E874">
        <v>0</v>
      </c>
      <c r="F874">
        <v>-1</v>
      </c>
      <c r="G874">
        <v>-1</v>
      </c>
      <c r="H874">
        <v>0</v>
      </c>
      <c r="I874">
        <v>0</v>
      </c>
      <c r="J874" t="s">
        <v>843</v>
      </c>
    </row>
    <row r="875" spans="1:10" x14ac:dyDescent="0.3">
      <c r="A875" t="s">
        <v>142</v>
      </c>
      <c r="B875" s="14" t="s">
        <v>1240</v>
      </c>
      <c r="C875">
        <v>1600000</v>
      </c>
      <c r="D875">
        <v>0</v>
      </c>
      <c r="E875">
        <v>0</v>
      </c>
      <c r="F875">
        <v>0</v>
      </c>
      <c r="G875">
        <v>0</v>
      </c>
      <c r="H875">
        <v>0</v>
      </c>
      <c r="I875">
        <v>0</v>
      </c>
      <c r="J875" t="s">
        <v>848</v>
      </c>
    </row>
    <row r="876" spans="1:10" x14ac:dyDescent="0.3">
      <c r="A876" t="s">
        <v>142</v>
      </c>
      <c r="B876" s="14" t="s">
        <v>1241</v>
      </c>
      <c r="C876">
        <v>2190000</v>
      </c>
      <c r="D876">
        <v>2</v>
      </c>
      <c r="E876">
        <v>0</v>
      </c>
      <c r="F876">
        <v>0</v>
      </c>
      <c r="G876">
        <v>0</v>
      </c>
      <c r="H876">
        <v>0</v>
      </c>
      <c r="I876">
        <v>0</v>
      </c>
      <c r="J876" t="s">
        <v>843</v>
      </c>
    </row>
    <row r="877" spans="1:10" x14ac:dyDescent="0.3">
      <c r="A877" t="s">
        <v>142</v>
      </c>
      <c r="B877" s="14" t="s">
        <v>412</v>
      </c>
      <c r="C877">
        <v>2000000</v>
      </c>
      <c r="D877">
        <v>0</v>
      </c>
      <c r="E877">
        <v>0</v>
      </c>
      <c r="F877">
        <v>1</v>
      </c>
      <c r="G877">
        <v>1</v>
      </c>
      <c r="H877">
        <v>0</v>
      </c>
      <c r="I877">
        <v>0</v>
      </c>
      <c r="J877" t="s">
        <v>848</v>
      </c>
    </row>
    <row r="878" spans="1:10" x14ac:dyDescent="0.3">
      <c r="A878" t="s">
        <v>142</v>
      </c>
      <c r="B878" s="14" t="s">
        <v>1242</v>
      </c>
      <c r="C878">
        <v>2390000</v>
      </c>
      <c r="D878">
        <v>0</v>
      </c>
      <c r="E878">
        <v>0</v>
      </c>
      <c r="F878">
        <v>1</v>
      </c>
      <c r="G878">
        <v>4</v>
      </c>
      <c r="H878">
        <v>0</v>
      </c>
      <c r="I878">
        <v>0</v>
      </c>
      <c r="J878" t="s">
        <v>848</v>
      </c>
    </row>
    <row r="879" spans="1:10" x14ac:dyDescent="0.3">
      <c r="A879" t="s">
        <v>142</v>
      </c>
      <c r="B879" s="14" t="s">
        <v>1243</v>
      </c>
      <c r="C879">
        <v>1500000</v>
      </c>
      <c r="D879">
        <v>0</v>
      </c>
      <c r="E879">
        <v>0</v>
      </c>
      <c r="F879">
        <v>0</v>
      </c>
      <c r="G879">
        <v>0</v>
      </c>
      <c r="H879">
        <v>0</v>
      </c>
      <c r="I879">
        <v>0</v>
      </c>
      <c r="J879" t="s">
        <v>848</v>
      </c>
    </row>
    <row r="880" spans="1:10" x14ac:dyDescent="0.3">
      <c r="A880" t="s">
        <v>142</v>
      </c>
      <c r="B880" s="14" t="s">
        <v>1244</v>
      </c>
      <c r="C880">
        <v>2790000</v>
      </c>
      <c r="D880">
        <v>1</v>
      </c>
      <c r="E880">
        <v>0</v>
      </c>
      <c r="F880">
        <v>1</v>
      </c>
      <c r="G880">
        <v>3</v>
      </c>
      <c r="H880">
        <v>0</v>
      </c>
      <c r="I880">
        <v>0</v>
      </c>
      <c r="J880" t="s">
        <v>843</v>
      </c>
    </row>
    <row r="881" spans="1:10" x14ac:dyDescent="0.3">
      <c r="A881" t="s">
        <v>142</v>
      </c>
      <c r="B881" s="14" t="s">
        <v>801</v>
      </c>
      <c r="D881">
        <v>1</v>
      </c>
      <c r="E881">
        <v>0</v>
      </c>
      <c r="F881">
        <v>0</v>
      </c>
      <c r="G881">
        <v>0</v>
      </c>
      <c r="H881">
        <v>0</v>
      </c>
      <c r="I881">
        <v>0</v>
      </c>
      <c r="J881" t="s">
        <v>843</v>
      </c>
    </row>
    <row r="882" spans="1:10" x14ac:dyDescent="0.3">
      <c r="A882" t="s">
        <v>142</v>
      </c>
      <c r="B882" s="14" t="s">
        <v>1245</v>
      </c>
      <c r="C882">
        <v>2300000</v>
      </c>
      <c r="D882">
        <v>0</v>
      </c>
      <c r="E882">
        <v>0</v>
      </c>
      <c r="F882">
        <v>0</v>
      </c>
      <c r="G882">
        <v>0</v>
      </c>
      <c r="H882">
        <v>0</v>
      </c>
      <c r="I882">
        <v>0</v>
      </c>
      <c r="J882" t="s">
        <v>848</v>
      </c>
    </row>
    <row r="883" spans="1:10" x14ac:dyDescent="0.3">
      <c r="A883" t="s">
        <v>142</v>
      </c>
      <c r="B883" s="14" t="s">
        <v>1246</v>
      </c>
      <c r="C883">
        <v>3250000</v>
      </c>
      <c r="D883">
        <v>1</v>
      </c>
      <c r="E883">
        <v>0</v>
      </c>
      <c r="F883">
        <v>0</v>
      </c>
      <c r="G883">
        <v>0</v>
      </c>
      <c r="H883">
        <v>0</v>
      </c>
      <c r="I883">
        <v>0</v>
      </c>
      <c r="J883" t="s">
        <v>843</v>
      </c>
    </row>
    <row r="884" spans="1:10" x14ac:dyDescent="0.3">
      <c r="A884" t="s">
        <v>142</v>
      </c>
      <c r="B884" s="14" t="s">
        <v>1247</v>
      </c>
      <c r="C884">
        <v>3890000</v>
      </c>
      <c r="D884">
        <v>0</v>
      </c>
      <c r="E884">
        <v>1</v>
      </c>
      <c r="F884">
        <v>1</v>
      </c>
      <c r="G884">
        <v>1</v>
      </c>
      <c r="H884">
        <v>0</v>
      </c>
      <c r="I884">
        <v>0</v>
      </c>
      <c r="J884" t="s">
        <v>848</v>
      </c>
    </row>
    <row r="885" spans="1:10" x14ac:dyDescent="0.3">
      <c r="A885" t="s">
        <v>142</v>
      </c>
      <c r="B885" s="14" t="s">
        <v>1248</v>
      </c>
      <c r="C885">
        <v>2500000</v>
      </c>
      <c r="D885">
        <v>0</v>
      </c>
      <c r="E885">
        <v>0</v>
      </c>
      <c r="F885">
        <v>0</v>
      </c>
      <c r="G885">
        <v>0</v>
      </c>
      <c r="H885">
        <v>0</v>
      </c>
      <c r="I885">
        <v>0</v>
      </c>
      <c r="J885" t="s">
        <v>848</v>
      </c>
    </row>
    <row r="886" spans="1:10" x14ac:dyDescent="0.3">
      <c r="A886" t="s">
        <v>142</v>
      </c>
      <c r="B886" s="14" t="s">
        <v>1248</v>
      </c>
      <c r="C886">
        <v>3000000</v>
      </c>
      <c r="D886">
        <v>1</v>
      </c>
      <c r="E886">
        <v>0</v>
      </c>
      <c r="F886">
        <v>0</v>
      </c>
      <c r="G886">
        <v>0</v>
      </c>
      <c r="H886">
        <v>0</v>
      </c>
      <c r="I886">
        <v>0</v>
      </c>
      <c r="J886" t="s">
        <v>843</v>
      </c>
    </row>
    <row r="887" spans="1:10" x14ac:dyDescent="0.3">
      <c r="A887" t="s">
        <v>142</v>
      </c>
      <c r="B887" s="14" t="s">
        <v>1249</v>
      </c>
      <c r="C887">
        <v>4390000</v>
      </c>
      <c r="D887">
        <v>1</v>
      </c>
      <c r="E887">
        <v>1</v>
      </c>
      <c r="F887">
        <v>1</v>
      </c>
      <c r="G887">
        <v>1</v>
      </c>
      <c r="H887">
        <v>0</v>
      </c>
      <c r="I887">
        <v>0</v>
      </c>
      <c r="J887" t="s">
        <v>843</v>
      </c>
    </row>
    <row r="888" spans="1:10" x14ac:dyDescent="0.3">
      <c r="A888" t="s">
        <v>142</v>
      </c>
      <c r="B888" s="14" t="s">
        <v>1250</v>
      </c>
      <c r="C888">
        <v>4790000</v>
      </c>
      <c r="D888">
        <v>1</v>
      </c>
      <c r="E888">
        <v>0</v>
      </c>
      <c r="F888">
        <v>0</v>
      </c>
      <c r="G888">
        <v>0</v>
      </c>
      <c r="H888">
        <v>0</v>
      </c>
      <c r="I888">
        <v>0</v>
      </c>
      <c r="J888" t="s">
        <v>843</v>
      </c>
    </row>
    <row r="889" spans="1:10" x14ac:dyDescent="0.3">
      <c r="A889" t="s">
        <v>142</v>
      </c>
      <c r="B889" s="14" t="s">
        <v>1250</v>
      </c>
      <c r="C889">
        <v>4200000</v>
      </c>
      <c r="D889">
        <v>1</v>
      </c>
      <c r="E889">
        <v>0</v>
      </c>
      <c r="F889">
        <v>0</v>
      </c>
      <c r="G889">
        <v>0</v>
      </c>
      <c r="H889">
        <v>0</v>
      </c>
      <c r="I889">
        <v>0</v>
      </c>
      <c r="J889" t="s">
        <v>843</v>
      </c>
    </row>
    <row r="890" spans="1:10" x14ac:dyDescent="0.3">
      <c r="A890" t="s">
        <v>142</v>
      </c>
      <c r="B890" s="14" t="s">
        <v>1251</v>
      </c>
      <c r="C890">
        <v>3500000</v>
      </c>
      <c r="D890">
        <v>0</v>
      </c>
      <c r="E890">
        <v>0</v>
      </c>
      <c r="F890">
        <v>0</v>
      </c>
      <c r="G890">
        <v>1</v>
      </c>
      <c r="H890">
        <v>0</v>
      </c>
      <c r="I890">
        <v>0</v>
      </c>
      <c r="J890" t="s">
        <v>848</v>
      </c>
    </row>
    <row r="891" spans="1:10" x14ac:dyDescent="0.3">
      <c r="A891" t="s">
        <v>142</v>
      </c>
      <c r="B891" s="14" t="s">
        <v>1252</v>
      </c>
      <c r="C891">
        <v>4000000</v>
      </c>
      <c r="D891">
        <v>3</v>
      </c>
      <c r="E891">
        <v>0</v>
      </c>
      <c r="F891">
        <v>0</v>
      </c>
      <c r="G891">
        <v>0</v>
      </c>
      <c r="H891">
        <v>0</v>
      </c>
      <c r="I891">
        <v>0</v>
      </c>
      <c r="J891" t="s">
        <v>843</v>
      </c>
    </row>
    <row r="892" spans="1:10" x14ac:dyDescent="0.3">
      <c r="A892" t="s">
        <v>142</v>
      </c>
      <c r="B892" s="14" t="s">
        <v>1253</v>
      </c>
      <c r="C892">
        <v>3990000</v>
      </c>
      <c r="D892">
        <v>1</v>
      </c>
      <c r="E892">
        <v>0</v>
      </c>
      <c r="F892">
        <v>0</v>
      </c>
      <c r="G892">
        <v>3</v>
      </c>
      <c r="H892">
        <v>0</v>
      </c>
      <c r="I892">
        <v>0</v>
      </c>
      <c r="J892" t="s">
        <v>843</v>
      </c>
    </row>
    <row r="893" spans="1:10" x14ac:dyDescent="0.3">
      <c r="A893" t="s">
        <v>142</v>
      </c>
      <c r="B893" s="14" t="s">
        <v>1254</v>
      </c>
      <c r="C893">
        <v>3190000</v>
      </c>
      <c r="D893">
        <v>1</v>
      </c>
      <c r="E893">
        <v>1</v>
      </c>
      <c r="F893">
        <v>2</v>
      </c>
      <c r="G893">
        <v>2</v>
      </c>
      <c r="H893">
        <v>0</v>
      </c>
      <c r="I893">
        <v>0</v>
      </c>
      <c r="J893" t="s">
        <v>843</v>
      </c>
    </row>
    <row r="894" spans="1:10" x14ac:dyDescent="0.3">
      <c r="A894" t="s">
        <v>142</v>
      </c>
      <c r="B894" s="14" t="s">
        <v>1255</v>
      </c>
      <c r="C894">
        <v>5100000</v>
      </c>
      <c r="D894">
        <v>3</v>
      </c>
      <c r="E894">
        <v>0</v>
      </c>
      <c r="F894">
        <v>0</v>
      </c>
      <c r="G894">
        <v>1</v>
      </c>
      <c r="H894">
        <v>0</v>
      </c>
      <c r="I894">
        <v>0</v>
      </c>
      <c r="J894" t="s">
        <v>843</v>
      </c>
    </row>
    <row r="895" spans="1:10" x14ac:dyDescent="0.3">
      <c r="A895" t="s">
        <v>142</v>
      </c>
      <c r="B895" s="14" t="s">
        <v>1256</v>
      </c>
      <c r="C895">
        <v>5590000</v>
      </c>
      <c r="D895">
        <v>3</v>
      </c>
      <c r="E895">
        <v>0</v>
      </c>
      <c r="F895">
        <v>1</v>
      </c>
      <c r="G895">
        <v>5</v>
      </c>
      <c r="H895">
        <v>0</v>
      </c>
      <c r="I895">
        <v>0</v>
      </c>
      <c r="J895" t="s">
        <v>843</v>
      </c>
    </row>
    <row r="896" spans="1:10" x14ac:dyDescent="0.3">
      <c r="A896" t="s">
        <v>142</v>
      </c>
      <c r="B896" s="14" t="s">
        <v>1257</v>
      </c>
      <c r="C896">
        <v>4290000</v>
      </c>
      <c r="D896">
        <v>4</v>
      </c>
      <c r="E896">
        <v>0</v>
      </c>
      <c r="F896">
        <v>1</v>
      </c>
      <c r="G896">
        <v>5</v>
      </c>
      <c r="H896">
        <v>0</v>
      </c>
      <c r="I896">
        <v>0</v>
      </c>
      <c r="J896" t="s">
        <v>843</v>
      </c>
    </row>
    <row r="897" spans="1:10" x14ac:dyDescent="0.3">
      <c r="A897" t="s">
        <v>96</v>
      </c>
      <c r="B897" s="14" t="s">
        <v>738</v>
      </c>
      <c r="C897">
        <v>400000</v>
      </c>
      <c r="D897">
        <v>1</v>
      </c>
      <c r="E897">
        <v>0</v>
      </c>
      <c r="F897">
        <v>0</v>
      </c>
      <c r="G897">
        <v>0</v>
      </c>
      <c r="H897">
        <v>0</v>
      </c>
      <c r="I897">
        <v>0</v>
      </c>
      <c r="J897" t="s">
        <v>843</v>
      </c>
    </row>
    <row r="898" spans="1:10" x14ac:dyDescent="0.3">
      <c r="A898" t="s">
        <v>96</v>
      </c>
      <c r="B898" s="14" t="s">
        <v>1258</v>
      </c>
      <c r="C898">
        <v>890000</v>
      </c>
      <c r="D898">
        <v>1</v>
      </c>
      <c r="E898">
        <v>0</v>
      </c>
      <c r="F898">
        <v>0</v>
      </c>
      <c r="G898">
        <v>0</v>
      </c>
      <c r="H898">
        <v>0</v>
      </c>
      <c r="I898">
        <v>0</v>
      </c>
      <c r="J898" t="s">
        <v>843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66E4-1954-4273-B0CB-13CC2E9E12DC}">
  <dimension ref="A2:K127"/>
  <sheetViews>
    <sheetView topLeftCell="A6" zoomScale="49" zoomScaleNormal="100" workbookViewId="0">
      <selection activeCell="N169" sqref="N169"/>
    </sheetView>
  </sheetViews>
  <sheetFormatPr defaultRowHeight="14.4" x14ac:dyDescent="0.3"/>
  <cols>
    <col min="2" max="2" width="90" bestFit="1" customWidth="1"/>
    <col min="3" max="3" width="15.44140625" bestFit="1" customWidth="1"/>
    <col min="4" max="4" width="17" bestFit="1" customWidth="1"/>
    <col min="5" max="6" width="21.77734375" bestFit="1" customWidth="1"/>
    <col min="7" max="7" width="21.5546875" style="24" bestFit="1" customWidth="1"/>
    <col min="8" max="8" width="54.44140625" bestFit="1" customWidth="1"/>
    <col min="9" max="9" width="10.21875" bestFit="1" customWidth="1"/>
    <col min="10" max="10" width="20.109375" bestFit="1" customWidth="1"/>
    <col min="11" max="11" width="21.5546875" bestFit="1" customWidth="1"/>
    <col min="12" max="12" width="8.77734375" bestFit="1" customWidth="1"/>
    <col min="13" max="13" width="10.88671875" bestFit="1" customWidth="1"/>
    <col min="14" max="14" width="12.77734375" bestFit="1" customWidth="1"/>
    <col min="15" max="15" width="11.21875" bestFit="1" customWidth="1"/>
    <col min="16" max="16" width="10.44140625" bestFit="1" customWidth="1"/>
    <col min="17" max="17" width="10.77734375" bestFit="1" customWidth="1"/>
  </cols>
  <sheetData>
    <row r="2" spans="1:10" x14ac:dyDescent="0.3">
      <c r="A2" s="45" t="s">
        <v>1286</v>
      </c>
      <c r="B2" s="47"/>
      <c r="H2" s="45" t="s">
        <v>1285</v>
      </c>
      <c r="I2" s="51"/>
    </row>
    <row r="3" spans="1:10" x14ac:dyDescent="0.3">
      <c r="A3" s="47"/>
      <c r="B3" s="47"/>
      <c r="H3" s="51"/>
      <c r="I3" s="51"/>
    </row>
    <row r="4" spans="1:10" x14ac:dyDescent="0.3">
      <c r="A4" s="20"/>
      <c r="B4" s="20"/>
    </row>
    <row r="5" spans="1:10" ht="18" x14ac:dyDescent="0.35">
      <c r="A5" s="20"/>
      <c r="B5" s="49" t="s">
        <v>1299</v>
      </c>
      <c r="C5" s="50"/>
      <c r="D5" s="50"/>
      <c r="E5" s="50"/>
      <c r="H5" s="41" t="s">
        <v>819</v>
      </c>
    </row>
    <row r="6" spans="1:10" ht="18" x14ac:dyDescent="0.35">
      <c r="A6" s="20"/>
      <c r="B6" s="38"/>
      <c r="C6" s="30"/>
      <c r="D6" s="30"/>
      <c r="E6" s="30"/>
      <c r="H6" s="43" t="s">
        <v>1304</v>
      </c>
    </row>
    <row r="7" spans="1:10" x14ac:dyDescent="0.3">
      <c r="A7" s="20"/>
      <c r="B7" s="20"/>
    </row>
    <row r="8" spans="1:10" x14ac:dyDescent="0.3">
      <c r="B8" s="15" t="s">
        <v>1271</v>
      </c>
      <c r="C8" s="19" t="s">
        <v>1295</v>
      </c>
      <c r="D8" s="18" t="s">
        <v>1296</v>
      </c>
      <c r="E8" s="19" t="s">
        <v>1297</v>
      </c>
      <c r="H8" s="15" t="s">
        <v>1271</v>
      </c>
      <c r="I8" s="19" t="s">
        <v>1295</v>
      </c>
      <c r="J8" s="40" t="s">
        <v>1297</v>
      </c>
    </row>
    <row r="9" spans="1:10" x14ac:dyDescent="0.3">
      <c r="B9" s="16" t="s">
        <v>156</v>
      </c>
      <c r="C9" s="19">
        <v>92</v>
      </c>
      <c r="D9" s="18">
        <v>2.4285714285714284</v>
      </c>
      <c r="E9" s="19">
        <v>45.857142857142861</v>
      </c>
      <c r="H9" s="16" t="s">
        <v>93</v>
      </c>
      <c r="I9" s="19">
        <v>147</v>
      </c>
      <c r="J9" s="40">
        <v>-32.142857142857139</v>
      </c>
    </row>
    <row r="10" spans="1:10" x14ac:dyDescent="0.3">
      <c r="B10" s="16" t="s">
        <v>201</v>
      </c>
      <c r="C10" s="19">
        <v>7</v>
      </c>
      <c r="D10" s="18">
        <v>0.42857142857142855</v>
      </c>
      <c r="E10" s="19">
        <v>-1.1428571428571423</v>
      </c>
      <c r="H10" s="16" t="s">
        <v>96</v>
      </c>
      <c r="I10" s="19">
        <v>147</v>
      </c>
      <c r="J10" s="40">
        <v>-140.71428571428572</v>
      </c>
    </row>
    <row r="11" spans="1:10" x14ac:dyDescent="0.3">
      <c r="B11" s="16" t="s">
        <v>469</v>
      </c>
      <c r="C11" s="19">
        <v>8</v>
      </c>
      <c r="D11" s="18">
        <v>0</v>
      </c>
      <c r="E11" s="19">
        <v>8</v>
      </c>
      <c r="H11" s="16" t="s">
        <v>264</v>
      </c>
      <c r="I11" s="19">
        <v>95</v>
      </c>
      <c r="J11" s="40">
        <v>81.428571428571431</v>
      </c>
    </row>
    <row r="12" spans="1:10" x14ac:dyDescent="0.3">
      <c r="B12" s="16" t="s">
        <v>143</v>
      </c>
      <c r="C12" s="19">
        <v>22</v>
      </c>
      <c r="D12" s="18">
        <v>1.1428571428571428</v>
      </c>
      <c r="E12" s="19">
        <v>0.28571428571428825</v>
      </c>
      <c r="H12" s="16" t="s">
        <v>156</v>
      </c>
      <c r="I12" s="19">
        <v>92</v>
      </c>
      <c r="J12" s="40">
        <v>45.857142857142861</v>
      </c>
    </row>
    <row r="13" spans="1:10" x14ac:dyDescent="0.3">
      <c r="B13" s="16" t="s">
        <v>93</v>
      </c>
      <c r="C13" s="19">
        <v>147</v>
      </c>
      <c r="D13" s="18">
        <v>9.4285714285714288</v>
      </c>
      <c r="E13" s="19">
        <v>-32.142857142857139</v>
      </c>
      <c r="H13" s="16" t="s">
        <v>125</v>
      </c>
      <c r="I13" s="19">
        <v>82</v>
      </c>
      <c r="J13" s="40">
        <v>-13</v>
      </c>
    </row>
    <row r="14" spans="1:10" x14ac:dyDescent="0.3">
      <c r="B14" s="16" t="s">
        <v>10</v>
      </c>
      <c r="C14" s="19">
        <v>2651</v>
      </c>
      <c r="D14" s="18">
        <v>114.57142857142857</v>
      </c>
      <c r="E14" s="19">
        <v>474.14285714285734</v>
      </c>
      <c r="H14" s="16" t="s">
        <v>121</v>
      </c>
      <c r="I14" s="19">
        <v>44</v>
      </c>
      <c r="J14" s="40">
        <v>3.2857142857142847</v>
      </c>
    </row>
    <row r="15" spans="1:10" x14ac:dyDescent="0.3">
      <c r="B15" s="16" t="s">
        <v>215</v>
      </c>
      <c r="C15" s="19">
        <v>6</v>
      </c>
      <c r="D15" s="18">
        <v>0</v>
      </c>
      <c r="E15" s="19">
        <v>6</v>
      </c>
      <c r="H15" s="16" t="s">
        <v>142</v>
      </c>
      <c r="I15" s="19">
        <v>42</v>
      </c>
      <c r="J15" s="40">
        <v>-66.571428571428569</v>
      </c>
    </row>
    <row r="16" spans="1:10" x14ac:dyDescent="0.3">
      <c r="B16" s="16" t="s">
        <v>264</v>
      </c>
      <c r="C16" s="19">
        <v>95</v>
      </c>
      <c r="D16" s="18">
        <v>0.7142857142857143</v>
      </c>
      <c r="E16" s="19">
        <v>81.428571428571431</v>
      </c>
      <c r="H16" s="16" t="s">
        <v>175</v>
      </c>
      <c r="I16" s="19">
        <v>41</v>
      </c>
      <c r="J16" s="40">
        <v>5.7142857142857153</v>
      </c>
    </row>
    <row r="17" spans="2:10" x14ac:dyDescent="0.3">
      <c r="B17" s="16" t="s">
        <v>125</v>
      </c>
      <c r="C17" s="19">
        <v>82</v>
      </c>
      <c r="D17" s="18">
        <v>5</v>
      </c>
      <c r="E17" s="19">
        <v>-13</v>
      </c>
      <c r="H17" s="16" t="s">
        <v>98</v>
      </c>
      <c r="I17" s="19">
        <v>38</v>
      </c>
      <c r="J17" s="40">
        <v>-67.857142857142847</v>
      </c>
    </row>
    <row r="18" spans="2:10" x14ac:dyDescent="0.3">
      <c r="B18" s="16" t="s">
        <v>121</v>
      </c>
      <c r="C18" s="19">
        <v>44</v>
      </c>
      <c r="D18" s="18">
        <v>2.1428571428571428</v>
      </c>
      <c r="E18" s="19">
        <v>3.2857142857142847</v>
      </c>
      <c r="H18" s="16" t="s">
        <v>143</v>
      </c>
      <c r="I18" s="19">
        <v>22</v>
      </c>
      <c r="J18" s="40">
        <v>0.28571428571428825</v>
      </c>
    </row>
    <row r="19" spans="2:10" x14ac:dyDescent="0.3">
      <c r="B19" s="16" t="s">
        <v>175</v>
      </c>
      <c r="C19" s="19">
        <v>41</v>
      </c>
      <c r="D19" s="18">
        <v>1.8571428571428572</v>
      </c>
      <c r="E19" s="19">
        <v>5.7142857142857153</v>
      </c>
      <c r="H19" s="16" t="s">
        <v>469</v>
      </c>
      <c r="I19" s="19">
        <v>8</v>
      </c>
      <c r="J19" s="40">
        <v>8</v>
      </c>
    </row>
    <row r="20" spans="2:10" x14ac:dyDescent="0.3">
      <c r="B20" s="16" t="s">
        <v>96</v>
      </c>
      <c r="C20" s="19">
        <v>147</v>
      </c>
      <c r="D20" s="18">
        <v>15.142857142857142</v>
      </c>
      <c r="E20" s="19">
        <v>-140.71428571428572</v>
      </c>
      <c r="H20" s="16" t="s">
        <v>201</v>
      </c>
      <c r="I20" s="19">
        <v>7</v>
      </c>
      <c r="J20" s="40">
        <v>-1.1428571428571423</v>
      </c>
    </row>
    <row r="21" spans="2:10" x14ac:dyDescent="0.3">
      <c r="B21" s="16" t="s">
        <v>98</v>
      </c>
      <c r="C21" s="19">
        <v>38</v>
      </c>
      <c r="D21" s="18">
        <v>5.5714285714285712</v>
      </c>
      <c r="E21" s="19">
        <v>-67.857142857142847</v>
      </c>
      <c r="H21" s="16" t="s">
        <v>215</v>
      </c>
      <c r="I21" s="19">
        <v>6</v>
      </c>
      <c r="J21" s="40">
        <v>6</v>
      </c>
    </row>
    <row r="22" spans="2:10" x14ac:dyDescent="0.3">
      <c r="B22" s="16" t="s">
        <v>142</v>
      </c>
      <c r="C22" s="19">
        <v>42</v>
      </c>
      <c r="D22" s="18">
        <v>5.7142857142857144</v>
      </c>
      <c r="E22" s="19">
        <v>-66.571428571428569</v>
      </c>
      <c r="H22" s="16" t="s">
        <v>1272</v>
      </c>
      <c r="I22" s="19">
        <v>771</v>
      </c>
      <c r="J22" s="40">
        <v>-170.85714285714278</v>
      </c>
    </row>
    <row r="23" spans="2:10" x14ac:dyDescent="0.3">
      <c r="B23" s="16" t="s">
        <v>1272</v>
      </c>
      <c r="C23" s="19">
        <v>3422</v>
      </c>
      <c r="D23" s="18">
        <v>164.14285714285714</v>
      </c>
      <c r="E23" s="19">
        <v>303.28571428571422</v>
      </c>
    </row>
    <row r="24" spans="2:10" x14ac:dyDescent="0.3">
      <c r="B24" s="16"/>
      <c r="C24" s="14"/>
      <c r="D24" s="18"/>
      <c r="E24" s="19"/>
    </row>
    <row r="26" spans="2:10" ht="18" x14ac:dyDescent="0.35">
      <c r="B26" s="49" t="s">
        <v>1298</v>
      </c>
      <c r="C26" s="49"/>
      <c r="D26" s="49"/>
      <c r="E26" s="49"/>
    </row>
    <row r="27" spans="2:10" x14ac:dyDescent="0.3">
      <c r="B27" s="15" t="s">
        <v>819</v>
      </c>
      <c r="C27" t="s" vm="3">
        <v>264</v>
      </c>
      <c r="D27" s="20"/>
      <c r="E27" s="20"/>
    </row>
    <row r="28" spans="2:10" x14ac:dyDescent="0.3">
      <c r="B28" s="15" t="s">
        <v>841</v>
      </c>
      <c r="C28" t="s" vm="4">
        <v>843</v>
      </c>
    </row>
    <row r="29" spans="2:10" x14ac:dyDescent="0.3">
      <c r="B29" s="20"/>
    </row>
    <row r="30" spans="2:10" x14ac:dyDescent="0.3">
      <c r="B30" s="15" t="s">
        <v>811</v>
      </c>
      <c r="C30" s="19" t="s">
        <v>1295</v>
      </c>
      <c r="D30" s="18" t="s">
        <v>1296</v>
      </c>
      <c r="E30" s="19" t="s">
        <v>1297</v>
      </c>
    </row>
    <row r="31" spans="2:10" x14ac:dyDescent="0.3">
      <c r="B31" t="s">
        <v>962</v>
      </c>
      <c r="C31" s="19">
        <v>1</v>
      </c>
      <c r="D31" s="18">
        <v>0</v>
      </c>
      <c r="E31" s="19">
        <v>1</v>
      </c>
    </row>
    <row r="32" spans="2:10" x14ac:dyDescent="0.3">
      <c r="B32" t="s">
        <v>963</v>
      </c>
      <c r="C32" s="19">
        <v>1</v>
      </c>
      <c r="D32" s="18">
        <v>0</v>
      </c>
      <c r="E32" s="19">
        <v>1</v>
      </c>
    </row>
    <row r="33" spans="2:10" x14ac:dyDescent="0.3">
      <c r="B33" t="s">
        <v>964</v>
      </c>
      <c r="C33" s="19">
        <v>1</v>
      </c>
      <c r="D33" s="18">
        <v>0</v>
      </c>
      <c r="E33" s="19">
        <v>1</v>
      </c>
      <c r="H33" s="42" t="s">
        <v>1305</v>
      </c>
    </row>
    <row r="34" spans="2:10" x14ac:dyDescent="0.3">
      <c r="B34" t="s">
        <v>965</v>
      </c>
      <c r="C34" s="19">
        <v>5</v>
      </c>
      <c r="D34" s="18">
        <v>0</v>
      </c>
      <c r="E34" s="19">
        <v>5</v>
      </c>
    </row>
    <row r="35" spans="2:10" x14ac:dyDescent="0.3">
      <c r="B35" t="s">
        <v>970</v>
      </c>
      <c r="C35" s="19">
        <v>1</v>
      </c>
      <c r="D35" s="18">
        <v>0</v>
      </c>
      <c r="E35" s="19">
        <v>1</v>
      </c>
      <c r="H35" s="15" t="s">
        <v>1271</v>
      </c>
      <c r="I35" s="19" t="s">
        <v>1295</v>
      </c>
      <c r="J35" s="40" t="s">
        <v>1297</v>
      </c>
    </row>
    <row r="36" spans="2:10" x14ac:dyDescent="0.3">
      <c r="B36" t="s">
        <v>971</v>
      </c>
      <c r="C36" s="19">
        <v>1</v>
      </c>
      <c r="D36" s="18">
        <v>0</v>
      </c>
      <c r="E36" s="19">
        <v>1</v>
      </c>
      <c r="H36" s="16" t="s">
        <v>10</v>
      </c>
      <c r="I36" s="19">
        <v>2651</v>
      </c>
      <c r="J36" s="40">
        <v>474.14285714285734</v>
      </c>
    </row>
    <row r="37" spans="2:10" x14ac:dyDescent="0.3">
      <c r="B37" t="s">
        <v>972</v>
      </c>
      <c r="C37" s="19">
        <v>1</v>
      </c>
      <c r="D37" s="18">
        <v>0</v>
      </c>
      <c r="E37" s="19">
        <v>1</v>
      </c>
      <c r="H37" s="16" t="s">
        <v>1272</v>
      </c>
      <c r="I37" s="19">
        <v>2651</v>
      </c>
      <c r="J37" s="40">
        <v>474.14285714285734</v>
      </c>
    </row>
    <row r="38" spans="2:10" x14ac:dyDescent="0.3">
      <c r="B38" t="s">
        <v>974</v>
      </c>
      <c r="C38" s="19">
        <v>1</v>
      </c>
      <c r="D38" s="18">
        <v>0</v>
      </c>
      <c r="E38" s="19">
        <v>1</v>
      </c>
    </row>
    <row r="39" spans="2:10" x14ac:dyDescent="0.3">
      <c r="B39" t="s">
        <v>975</v>
      </c>
      <c r="C39" s="19">
        <v>1</v>
      </c>
      <c r="D39" s="18">
        <v>0</v>
      </c>
      <c r="E39" s="19">
        <v>1</v>
      </c>
    </row>
    <row r="40" spans="2:10" x14ac:dyDescent="0.3">
      <c r="B40" t="s">
        <v>976</v>
      </c>
      <c r="C40" s="19">
        <v>1</v>
      </c>
      <c r="D40" s="18">
        <v>0</v>
      </c>
      <c r="E40" s="19">
        <v>1</v>
      </c>
    </row>
    <row r="41" spans="2:10" x14ac:dyDescent="0.3">
      <c r="B41" t="s">
        <v>699</v>
      </c>
      <c r="C41" s="19">
        <v>1</v>
      </c>
      <c r="D41" s="18">
        <v>0</v>
      </c>
      <c r="E41" s="19">
        <v>1</v>
      </c>
    </row>
    <row r="42" spans="2:10" x14ac:dyDescent="0.3">
      <c r="B42" t="s">
        <v>700</v>
      </c>
      <c r="C42" s="19">
        <v>1</v>
      </c>
      <c r="D42" s="18">
        <v>0</v>
      </c>
      <c r="E42" s="19">
        <v>1</v>
      </c>
    </row>
    <row r="43" spans="2:10" x14ac:dyDescent="0.3">
      <c r="B43" t="s">
        <v>979</v>
      </c>
      <c r="C43" s="19">
        <v>1</v>
      </c>
      <c r="D43" s="18">
        <v>0</v>
      </c>
      <c r="E43" s="19">
        <v>1</v>
      </c>
    </row>
    <row r="44" spans="2:10" x14ac:dyDescent="0.3">
      <c r="B44" t="s">
        <v>980</v>
      </c>
      <c r="C44" s="19">
        <v>13</v>
      </c>
      <c r="D44" s="18">
        <v>0</v>
      </c>
      <c r="E44" s="19">
        <v>13</v>
      </c>
    </row>
    <row r="45" spans="2:10" x14ac:dyDescent="0.3">
      <c r="B45" t="s">
        <v>981</v>
      </c>
      <c r="C45" s="19">
        <v>0</v>
      </c>
      <c r="D45" s="18">
        <v>0</v>
      </c>
      <c r="E45" s="19">
        <v>0</v>
      </c>
    </row>
    <row r="46" spans="2:10" x14ac:dyDescent="0.3">
      <c r="B46" t="s">
        <v>1078</v>
      </c>
      <c r="C46" s="19">
        <v>31</v>
      </c>
      <c r="D46" s="18">
        <v>0.14285714285714285</v>
      </c>
      <c r="E46" s="19">
        <v>28.285714285714285</v>
      </c>
    </row>
    <row r="47" spans="2:10" x14ac:dyDescent="0.3">
      <c r="B47" t="s">
        <v>1079</v>
      </c>
      <c r="C47" s="19">
        <v>1</v>
      </c>
      <c r="D47" s="18">
        <v>0</v>
      </c>
      <c r="E47" s="19">
        <v>1</v>
      </c>
    </row>
    <row r="48" spans="2:10" x14ac:dyDescent="0.3">
      <c r="B48" t="s">
        <v>1080</v>
      </c>
      <c r="C48" s="19">
        <v>33</v>
      </c>
      <c r="D48" s="18">
        <v>0.14285714285714285</v>
      </c>
      <c r="E48" s="19">
        <v>30.285714285714285</v>
      </c>
    </row>
    <row r="49" spans="2:11" x14ac:dyDescent="0.3">
      <c r="B49" t="s">
        <v>1272</v>
      </c>
      <c r="C49" s="19">
        <v>95</v>
      </c>
      <c r="D49" s="18">
        <v>0.2857142857142857</v>
      </c>
      <c r="E49" s="19">
        <v>89.571428571428569</v>
      </c>
    </row>
    <row r="54" spans="2:11" x14ac:dyDescent="0.3">
      <c r="H54" s="41" t="s">
        <v>1300</v>
      </c>
    </row>
    <row r="56" spans="2:11" x14ac:dyDescent="0.3">
      <c r="K56" s="20"/>
    </row>
    <row r="57" spans="2:11" x14ac:dyDescent="0.3">
      <c r="H57" s="5" t="s">
        <v>1303</v>
      </c>
    </row>
    <row r="59" spans="2:11" x14ac:dyDescent="0.3">
      <c r="H59" s="15" t="s">
        <v>819</v>
      </c>
      <c r="I59" t="s" vm="2">
        <v>1277</v>
      </c>
      <c r="J59" s="20"/>
    </row>
    <row r="60" spans="2:11" x14ac:dyDescent="0.3">
      <c r="H60" s="15" t="s">
        <v>841</v>
      </c>
      <c r="I60" t="s" vm="4">
        <v>843</v>
      </c>
    </row>
    <row r="61" spans="2:11" x14ac:dyDescent="0.3">
      <c r="H61" s="20"/>
    </row>
    <row r="62" spans="2:11" x14ac:dyDescent="0.3">
      <c r="H62" s="15" t="s">
        <v>811</v>
      </c>
      <c r="I62" s="40" t="s">
        <v>1295</v>
      </c>
      <c r="J62" s="19" t="s">
        <v>1297</v>
      </c>
    </row>
    <row r="63" spans="2:11" x14ac:dyDescent="0.3">
      <c r="H63" t="s">
        <v>960</v>
      </c>
      <c r="I63" s="40">
        <v>162</v>
      </c>
      <c r="J63" s="19">
        <v>-114.85714285714283</v>
      </c>
    </row>
    <row r="64" spans="2:11" x14ac:dyDescent="0.3">
      <c r="H64" t="s">
        <v>936</v>
      </c>
      <c r="I64" s="40">
        <v>108</v>
      </c>
      <c r="J64" s="19">
        <v>56.428571428571423</v>
      </c>
    </row>
    <row r="65" spans="8:10" x14ac:dyDescent="0.3">
      <c r="H65" t="s">
        <v>48</v>
      </c>
      <c r="I65" s="40">
        <v>101</v>
      </c>
      <c r="J65" s="19">
        <v>6</v>
      </c>
    </row>
    <row r="66" spans="8:10" x14ac:dyDescent="0.3">
      <c r="H66" t="s">
        <v>107</v>
      </c>
      <c r="I66" s="40">
        <v>101</v>
      </c>
      <c r="J66" s="19">
        <v>79.285714285714292</v>
      </c>
    </row>
    <row r="67" spans="8:10" x14ac:dyDescent="0.3">
      <c r="H67" t="s">
        <v>88</v>
      </c>
      <c r="I67" s="40">
        <v>98</v>
      </c>
      <c r="J67" s="19">
        <v>65.428571428571431</v>
      </c>
    </row>
    <row r="68" spans="8:10" x14ac:dyDescent="0.3">
      <c r="H68" t="s">
        <v>945</v>
      </c>
      <c r="I68" s="40">
        <v>90</v>
      </c>
      <c r="J68" s="19">
        <v>-24</v>
      </c>
    </row>
    <row r="69" spans="8:10" x14ac:dyDescent="0.3">
      <c r="H69" t="s">
        <v>68</v>
      </c>
      <c r="I69" s="40">
        <v>84</v>
      </c>
      <c r="J69" s="19">
        <v>40.571428571428577</v>
      </c>
    </row>
    <row r="70" spans="8:10" x14ac:dyDescent="0.3">
      <c r="H70" t="s">
        <v>922</v>
      </c>
      <c r="I70" s="40">
        <v>83</v>
      </c>
      <c r="J70" s="19">
        <v>61.285714285714292</v>
      </c>
    </row>
    <row r="71" spans="8:10" x14ac:dyDescent="0.3">
      <c r="H71" t="s">
        <v>112</v>
      </c>
      <c r="I71" s="40">
        <v>69</v>
      </c>
      <c r="J71" s="19">
        <v>47.285714285714292</v>
      </c>
    </row>
    <row r="72" spans="8:10" x14ac:dyDescent="0.3">
      <c r="H72" t="s">
        <v>899</v>
      </c>
      <c r="I72" s="40">
        <v>60</v>
      </c>
      <c r="J72" s="19">
        <v>43.714285714285715</v>
      </c>
    </row>
    <row r="73" spans="8:10" x14ac:dyDescent="0.3">
      <c r="H73" t="s">
        <v>1272</v>
      </c>
      <c r="I73" s="40">
        <v>956</v>
      </c>
      <c r="J73" s="19">
        <v>261.14285714285722</v>
      </c>
    </row>
    <row r="87" spans="8:10" x14ac:dyDescent="0.3">
      <c r="J87" s="20"/>
    </row>
    <row r="88" spans="8:10" x14ac:dyDescent="0.3">
      <c r="H88" s="5" t="s">
        <v>1302</v>
      </c>
    </row>
    <row r="89" spans="8:10" x14ac:dyDescent="0.3">
      <c r="H89" s="20"/>
    </row>
    <row r="90" spans="8:10" x14ac:dyDescent="0.3">
      <c r="H90" s="15" t="s">
        <v>819</v>
      </c>
      <c r="I90" t="s" vm="2">
        <v>1277</v>
      </c>
      <c r="J90" s="20"/>
    </row>
    <row r="91" spans="8:10" x14ac:dyDescent="0.3">
      <c r="H91" s="15" t="s">
        <v>841</v>
      </c>
      <c r="I91" t="s" vm="4">
        <v>843</v>
      </c>
    </row>
    <row r="92" spans="8:10" x14ac:dyDescent="0.3">
      <c r="H92" s="20"/>
    </row>
    <row r="93" spans="8:10" x14ac:dyDescent="0.3">
      <c r="H93" s="15" t="s">
        <v>811</v>
      </c>
      <c r="I93" t="s">
        <v>1297</v>
      </c>
    </row>
    <row r="94" spans="8:10" x14ac:dyDescent="0.3">
      <c r="H94" t="s">
        <v>960</v>
      </c>
      <c r="I94" s="19">
        <v>-114.85714285714283</v>
      </c>
    </row>
    <row r="95" spans="8:10" x14ac:dyDescent="0.3">
      <c r="H95" t="s">
        <v>910</v>
      </c>
      <c r="I95" s="19">
        <v>-43.285714285714285</v>
      </c>
    </row>
    <row r="96" spans="8:10" x14ac:dyDescent="0.3">
      <c r="H96" t="s">
        <v>84</v>
      </c>
      <c r="I96" s="19">
        <v>-33.714285714285715</v>
      </c>
    </row>
    <row r="97" spans="8:9" x14ac:dyDescent="0.3">
      <c r="H97" t="s">
        <v>1166</v>
      </c>
      <c r="I97" s="19">
        <v>-25.857142857142858</v>
      </c>
    </row>
    <row r="98" spans="8:9" x14ac:dyDescent="0.3">
      <c r="H98" t="s">
        <v>945</v>
      </c>
      <c r="I98" s="19">
        <v>-24</v>
      </c>
    </row>
    <row r="99" spans="8:9" x14ac:dyDescent="0.3">
      <c r="H99" t="s">
        <v>100</v>
      </c>
      <c r="I99" s="19">
        <v>-22.571428571428569</v>
      </c>
    </row>
    <row r="100" spans="8:9" x14ac:dyDescent="0.3">
      <c r="H100" t="s">
        <v>113</v>
      </c>
      <c r="I100" s="19">
        <v>-20.714285714285712</v>
      </c>
    </row>
    <row r="101" spans="8:9" x14ac:dyDescent="0.3">
      <c r="H101" t="s">
        <v>1067</v>
      </c>
      <c r="I101" s="19">
        <v>-18.571428571428569</v>
      </c>
    </row>
    <row r="102" spans="8:9" x14ac:dyDescent="0.3">
      <c r="H102" t="s">
        <v>74</v>
      </c>
      <c r="I102" s="19">
        <v>-18.428571428571431</v>
      </c>
    </row>
    <row r="103" spans="8:9" x14ac:dyDescent="0.3">
      <c r="H103" t="s">
        <v>1185</v>
      </c>
      <c r="I103" s="19">
        <v>-18.428571428571431</v>
      </c>
    </row>
    <row r="104" spans="8:9" x14ac:dyDescent="0.3">
      <c r="H104" t="s">
        <v>1272</v>
      </c>
      <c r="I104" s="19">
        <v>-340.42857142857144</v>
      </c>
    </row>
    <row r="111" spans="8:9" x14ac:dyDescent="0.3">
      <c r="H111" s="5" t="s">
        <v>1301</v>
      </c>
    </row>
    <row r="113" spans="8:9" x14ac:dyDescent="0.3">
      <c r="H113" s="15" t="s">
        <v>819</v>
      </c>
      <c r="I113" t="s" vm="2">
        <v>1277</v>
      </c>
    </row>
    <row r="114" spans="8:9" x14ac:dyDescent="0.3">
      <c r="H114" s="15" t="s">
        <v>841</v>
      </c>
      <c r="I114" t="s" vm="4">
        <v>843</v>
      </c>
    </row>
    <row r="115" spans="8:9" x14ac:dyDescent="0.3">
      <c r="H115" s="20"/>
    </row>
    <row r="116" spans="8:9" x14ac:dyDescent="0.3">
      <c r="H116" s="15" t="s">
        <v>811</v>
      </c>
      <c r="I116" s="39" t="s">
        <v>1296</v>
      </c>
    </row>
    <row r="117" spans="8:9" x14ac:dyDescent="0.3">
      <c r="H117" t="s">
        <v>960</v>
      </c>
      <c r="I117" s="39">
        <v>14.571428571428571</v>
      </c>
    </row>
    <row r="118" spans="8:9" x14ac:dyDescent="0.3">
      <c r="H118" t="s">
        <v>945</v>
      </c>
      <c r="I118" s="39">
        <v>6</v>
      </c>
    </row>
    <row r="119" spans="8:9" x14ac:dyDescent="0.3">
      <c r="H119" t="s">
        <v>48</v>
      </c>
      <c r="I119" s="39">
        <v>5</v>
      </c>
    </row>
    <row r="120" spans="8:9" x14ac:dyDescent="0.3">
      <c r="H120" t="s">
        <v>1051</v>
      </c>
      <c r="I120" s="39">
        <v>3</v>
      </c>
    </row>
    <row r="121" spans="8:9" x14ac:dyDescent="0.3">
      <c r="H121" t="s">
        <v>910</v>
      </c>
      <c r="I121" s="39">
        <v>2.8571428571428572</v>
      </c>
    </row>
    <row r="122" spans="8:9" x14ac:dyDescent="0.3">
      <c r="H122" t="s">
        <v>936</v>
      </c>
      <c r="I122" s="39">
        <v>2.7142857142857144</v>
      </c>
    </row>
    <row r="123" spans="8:9" x14ac:dyDescent="0.3">
      <c r="H123" t="s">
        <v>951</v>
      </c>
      <c r="I123" s="39">
        <v>2.5714285714285716</v>
      </c>
    </row>
    <row r="124" spans="8:9" x14ac:dyDescent="0.3">
      <c r="H124" t="s">
        <v>72</v>
      </c>
      <c r="I124" s="39">
        <v>2.4285714285714284</v>
      </c>
    </row>
    <row r="125" spans="8:9" x14ac:dyDescent="0.3">
      <c r="H125" t="s">
        <v>850</v>
      </c>
      <c r="I125" s="39">
        <v>2.2857142857142856</v>
      </c>
    </row>
    <row r="126" spans="8:9" x14ac:dyDescent="0.3">
      <c r="H126" t="s">
        <v>68</v>
      </c>
      <c r="I126" s="39">
        <v>2.2857142857142856</v>
      </c>
    </row>
    <row r="127" spans="8:9" x14ac:dyDescent="0.3">
      <c r="H127" t="s">
        <v>1272</v>
      </c>
      <c r="I127" s="39">
        <v>43.714285714285715</v>
      </c>
    </row>
  </sheetData>
  <sortState xmlns:xlrd2="http://schemas.microsoft.com/office/spreadsheetml/2017/richdata2" ref="B8:E69">
    <sortCondition descending="1" ref="C8"/>
  </sortState>
  <mergeCells count="4">
    <mergeCell ref="A2:B3"/>
    <mergeCell ref="B26:E26"/>
    <mergeCell ref="B5:E5"/>
    <mergeCell ref="H2:I3"/>
  </mergeCells>
  <conditionalFormatting pivot="1" sqref="E9:E23">
    <cfRule type="cellIs" dxfId="34" priority="28" operator="lessThan">
      <formula>0</formula>
    </cfRule>
  </conditionalFormatting>
  <conditionalFormatting pivot="1" sqref="E31:E49">
    <cfRule type="cellIs" dxfId="33" priority="27" operator="lessThan">
      <formula>0</formula>
    </cfRule>
  </conditionalFormatting>
  <conditionalFormatting pivot="1" sqref="E31:E49">
    <cfRule type="cellIs" dxfId="32" priority="26" operator="lessThan">
      <formula>0</formula>
    </cfRule>
  </conditionalFormatting>
  <conditionalFormatting pivot="1" sqref="E31:E49">
    <cfRule type="cellIs" dxfId="31" priority="25" operator="greaterThan">
      <formula>2</formula>
    </cfRule>
  </conditionalFormatting>
  <conditionalFormatting pivot="1" sqref="E31:E49">
    <cfRule type="cellIs" dxfId="30" priority="24" operator="between">
      <formula>1</formula>
      <formula>3</formula>
    </cfRule>
  </conditionalFormatting>
  <conditionalFormatting pivot="1" sqref="E31:E49">
    <cfRule type="cellIs" dxfId="29" priority="23" operator="lessThan">
      <formula>1</formula>
    </cfRule>
  </conditionalFormatting>
  <conditionalFormatting pivot="1" sqref="J9:J22">
    <cfRule type="cellIs" dxfId="28" priority="22" operator="lessThan">
      <formula>0</formula>
    </cfRule>
  </conditionalFormatting>
  <conditionalFormatting pivot="1" sqref="J36:J37">
    <cfRule type="cellIs" dxfId="27" priority="21" operator="lessThan">
      <formula>0</formula>
    </cfRule>
  </conditionalFormatting>
  <conditionalFormatting pivot="1" sqref="J63:J73">
    <cfRule type="cellIs" dxfId="26" priority="20" operator="lessThan">
      <formula>0</formula>
    </cfRule>
  </conditionalFormatting>
  <conditionalFormatting pivot="1" sqref="J63:J73">
    <cfRule type="cellIs" dxfId="25" priority="19" operator="lessThan">
      <formula>0</formula>
    </cfRule>
  </conditionalFormatting>
  <conditionalFormatting pivot="1" sqref="J63:J73">
    <cfRule type="cellIs" dxfId="24" priority="18" operator="greaterThan">
      <formula>2</formula>
    </cfRule>
  </conditionalFormatting>
  <conditionalFormatting pivot="1" sqref="J63:J73">
    <cfRule type="cellIs" dxfId="23" priority="17" operator="between">
      <formula>1</formula>
      <formula>3</formula>
    </cfRule>
  </conditionalFormatting>
  <conditionalFormatting pivot="1" sqref="J63:J73">
    <cfRule type="cellIs" dxfId="22" priority="16" operator="lessThan">
      <formula>1</formula>
    </cfRule>
  </conditionalFormatting>
  <conditionalFormatting pivot="1" sqref="I94:I104">
    <cfRule type="cellIs" dxfId="21" priority="10" operator="lessThan">
      <formula>0</formula>
    </cfRule>
  </conditionalFormatting>
  <conditionalFormatting pivot="1" sqref="I94:I104">
    <cfRule type="cellIs" dxfId="20" priority="9" operator="lessThan">
      <formula>0</formula>
    </cfRule>
  </conditionalFormatting>
  <conditionalFormatting pivot="1" sqref="I94:I104">
    <cfRule type="cellIs" dxfId="19" priority="8" operator="greaterThan">
      <formula>2</formula>
    </cfRule>
  </conditionalFormatting>
  <conditionalFormatting pivot="1" sqref="I94:I104">
    <cfRule type="cellIs" dxfId="18" priority="7" operator="between">
      <formula>1</formula>
      <formula>3</formula>
    </cfRule>
  </conditionalFormatting>
  <conditionalFormatting pivot="1" sqref="I94:I104">
    <cfRule type="cellIs" dxfId="17" priority="6" operator="lessThan">
      <formula>1</formula>
    </cfRule>
  </conditionalFormatting>
  <pageMargins left="0.7" right="0.7" top="0.75" bottom="0.75" header="0.3" footer="0.3"/>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87D2-9DE3-4A79-9A03-B9AF3358488D}">
  <sheetPr>
    <tabColor theme="7" tint="0.79998168889431442"/>
  </sheetPr>
  <dimension ref="A1:K903"/>
  <sheetViews>
    <sheetView workbookViewId="0">
      <selection activeCell="E7" sqref="E7"/>
    </sheetView>
  </sheetViews>
  <sheetFormatPr defaultRowHeight="14.4" x14ac:dyDescent="0.3"/>
  <cols>
    <col min="1" max="1" width="16.33203125" bestFit="1" customWidth="1"/>
    <col min="2" max="2" width="53.77734375" customWidth="1"/>
    <col min="3" max="3" width="16.21875" bestFit="1" customWidth="1"/>
    <col min="4" max="4" width="10.109375" bestFit="1" customWidth="1"/>
    <col min="5" max="5" width="17.33203125" bestFit="1" customWidth="1"/>
    <col min="6" max="7" width="16.77734375" bestFit="1" customWidth="1"/>
    <col min="8" max="8" width="16.21875" bestFit="1" customWidth="1"/>
    <col min="9" max="9" width="18" bestFit="1" customWidth="1"/>
    <col min="10" max="10" width="7.77734375" bestFit="1" customWidth="1"/>
    <col min="11" max="11" width="13.109375" bestFit="1" customWidth="1"/>
    <col min="12" max="12" width="5.6640625" bestFit="1" customWidth="1"/>
    <col min="13" max="14" width="5.77734375" bestFit="1" customWidth="1"/>
    <col min="15" max="15" width="6.77734375" bestFit="1" customWidth="1"/>
    <col min="16" max="16" width="131.6640625" bestFit="1" customWidth="1"/>
  </cols>
  <sheetData>
    <row r="1" spans="1:11" x14ac:dyDescent="0.3">
      <c r="A1" t="s">
        <v>819</v>
      </c>
      <c r="B1" t="s">
        <v>811</v>
      </c>
      <c r="C1" t="s">
        <v>818</v>
      </c>
      <c r="D1" t="s">
        <v>812</v>
      </c>
      <c r="E1" t="s">
        <v>813</v>
      </c>
      <c r="F1" t="s">
        <v>814</v>
      </c>
      <c r="G1" t="s">
        <v>815</v>
      </c>
      <c r="H1" t="s">
        <v>816</v>
      </c>
      <c r="I1" t="s">
        <v>817</v>
      </c>
    </row>
    <row r="2" spans="1:11" x14ac:dyDescent="0.3">
      <c r="A2" t="s">
        <v>10</v>
      </c>
      <c r="B2" t="s">
        <v>11</v>
      </c>
      <c r="C2" s="1">
        <v>154</v>
      </c>
      <c r="D2" s="1">
        <v>15000000</v>
      </c>
      <c r="E2" s="1">
        <v>15</v>
      </c>
      <c r="F2" s="1">
        <v>42</v>
      </c>
      <c r="G2" s="1">
        <v>101</v>
      </c>
      <c r="H2" s="1">
        <v>16</v>
      </c>
      <c r="I2" s="1">
        <v>31</v>
      </c>
    </row>
    <row r="3" spans="1:11" x14ac:dyDescent="0.3">
      <c r="A3" t="s">
        <v>10</v>
      </c>
      <c r="B3" t="s">
        <v>34</v>
      </c>
      <c r="C3" s="1">
        <v>85</v>
      </c>
      <c r="D3" s="1">
        <v>12400000</v>
      </c>
      <c r="E3" s="1">
        <v>5</v>
      </c>
      <c r="F3" s="1">
        <v>20</v>
      </c>
      <c r="G3" s="1">
        <v>42</v>
      </c>
      <c r="H3" s="1">
        <v>29</v>
      </c>
      <c r="I3" s="1">
        <v>55</v>
      </c>
      <c r="K3" t="str" cm="1">
        <f t="array" ref="K3:K16">_xlfn.UNIQUE(Table15[Danh mục])</f>
        <v>IPHONE CŨ</v>
      </c>
    </row>
    <row r="4" spans="1:11" x14ac:dyDescent="0.3">
      <c r="A4" t="s">
        <v>10</v>
      </c>
      <c r="B4" t="s">
        <v>48</v>
      </c>
      <c r="C4" s="1">
        <v>101</v>
      </c>
      <c r="D4" s="1">
        <v>6400000</v>
      </c>
      <c r="E4" s="1">
        <v>5</v>
      </c>
      <c r="F4" s="1">
        <v>16</v>
      </c>
      <c r="G4" s="1">
        <v>35</v>
      </c>
      <c r="H4" s="1">
        <v>4</v>
      </c>
      <c r="I4" s="1">
        <v>4</v>
      </c>
      <c r="K4" t="str">
        <v>IPAD CŨ</v>
      </c>
    </row>
    <row r="5" spans="1:11" x14ac:dyDescent="0.3">
      <c r="A5" t="s">
        <v>10</v>
      </c>
      <c r="B5" t="s">
        <v>53</v>
      </c>
      <c r="C5" s="1">
        <v>59</v>
      </c>
      <c r="D5" s="1">
        <v>17000000</v>
      </c>
      <c r="E5" s="1">
        <v>2</v>
      </c>
      <c r="F5" s="1">
        <v>9</v>
      </c>
      <c r="G5" s="1">
        <v>21</v>
      </c>
      <c r="H5" s="1"/>
      <c r="I5" s="1"/>
      <c r="K5" t="str">
        <v>SAMSUNG CŨ</v>
      </c>
    </row>
    <row r="6" spans="1:11" x14ac:dyDescent="0.3">
      <c r="A6" t="s">
        <v>10</v>
      </c>
      <c r="B6" t="s">
        <v>56</v>
      </c>
      <c r="C6" s="1">
        <v>41</v>
      </c>
      <c r="D6" s="1">
        <v>16400000</v>
      </c>
      <c r="E6" s="1">
        <v>2</v>
      </c>
      <c r="F6" s="1">
        <v>4</v>
      </c>
      <c r="G6" s="1">
        <v>15</v>
      </c>
      <c r="H6" s="1"/>
      <c r="I6" s="1">
        <v>16</v>
      </c>
      <c r="K6" t="str">
        <v>VSMART CŨ</v>
      </c>
    </row>
    <row r="7" spans="1:11" x14ac:dyDescent="0.3">
      <c r="A7" t="s">
        <v>10</v>
      </c>
      <c r="B7" t="s">
        <v>59</v>
      </c>
      <c r="C7" s="1">
        <v>11</v>
      </c>
      <c r="D7" s="1">
        <v>7600000</v>
      </c>
      <c r="E7" s="1">
        <v>3</v>
      </c>
      <c r="F7" s="1">
        <v>10</v>
      </c>
      <c r="G7" s="1">
        <v>20</v>
      </c>
      <c r="H7" s="1"/>
      <c r="I7" s="1">
        <v>14</v>
      </c>
      <c r="K7" t="str">
        <v>OPPO CŨ</v>
      </c>
    </row>
    <row r="8" spans="1:11" x14ac:dyDescent="0.3">
      <c r="A8" t="s">
        <v>10</v>
      </c>
      <c r="B8" t="s">
        <v>60</v>
      </c>
      <c r="C8" s="1">
        <v>103</v>
      </c>
      <c r="D8" s="1">
        <v>11000000</v>
      </c>
      <c r="E8" s="1">
        <v>2</v>
      </c>
      <c r="F8" s="1">
        <v>9</v>
      </c>
      <c r="G8" s="1">
        <v>19</v>
      </c>
      <c r="H8" s="1"/>
      <c r="I8" s="1">
        <v>19</v>
      </c>
      <c r="K8" t="str">
        <v>NOKIA CŨ</v>
      </c>
    </row>
    <row r="9" spans="1:11" x14ac:dyDescent="0.3">
      <c r="A9" t="s">
        <v>10</v>
      </c>
      <c r="B9" t="s">
        <v>64</v>
      </c>
      <c r="C9" s="1">
        <v>16</v>
      </c>
      <c r="D9" s="1">
        <v>2700000</v>
      </c>
      <c r="E9" s="1">
        <v>1</v>
      </c>
      <c r="F9" s="1">
        <v>2</v>
      </c>
      <c r="G9" s="1">
        <v>7</v>
      </c>
      <c r="H9" s="1"/>
      <c r="I9" s="1">
        <v>9</v>
      </c>
      <c r="K9" t="str">
        <v>XIAOMI CŨ</v>
      </c>
    </row>
    <row r="10" spans="1:11" x14ac:dyDescent="0.3">
      <c r="A10" t="s">
        <v>10</v>
      </c>
      <c r="B10" t="s">
        <v>66</v>
      </c>
      <c r="C10" s="1">
        <v>28</v>
      </c>
      <c r="D10" s="1">
        <v>4200000</v>
      </c>
      <c r="E10" s="1"/>
      <c r="F10" s="1">
        <v>7</v>
      </c>
      <c r="G10" s="1">
        <v>14</v>
      </c>
      <c r="H10" s="1"/>
      <c r="I10" s="1"/>
      <c r="K10" t="str">
        <v>HUAWEI CŨ</v>
      </c>
    </row>
    <row r="11" spans="1:11" x14ac:dyDescent="0.3">
      <c r="A11" t="s">
        <v>10</v>
      </c>
      <c r="B11" t="s">
        <v>67</v>
      </c>
      <c r="C11" s="1">
        <v>48</v>
      </c>
      <c r="D11" s="1">
        <v>6400000</v>
      </c>
      <c r="E11" s="1">
        <v>3</v>
      </c>
      <c r="F11" s="1">
        <v>5</v>
      </c>
      <c r="G11" s="1">
        <v>14</v>
      </c>
      <c r="H11" s="1">
        <v>19</v>
      </c>
      <c r="I11" s="1">
        <v>19</v>
      </c>
      <c r="K11" t="str">
        <v>APPLE WATCH CŨ</v>
      </c>
    </row>
    <row r="12" spans="1:11" x14ac:dyDescent="0.3">
      <c r="A12" t="s">
        <v>10</v>
      </c>
      <c r="B12" t="s">
        <v>68</v>
      </c>
      <c r="C12" s="1">
        <v>84</v>
      </c>
      <c r="D12" s="1">
        <v>3700000</v>
      </c>
      <c r="E12" s="1">
        <v>2</v>
      </c>
      <c r="F12" s="1">
        <v>9</v>
      </c>
      <c r="G12" s="1">
        <v>16</v>
      </c>
      <c r="H12" s="1"/>
      <c r="I12" s="1"/>
      <c r="K12" t="str">
        <v>REALME CŨ</v>
      </c>
    </row>
    <row r="13" spans="1:11" x14ac:dyDescent="0.3">
      <c r="A13" t="s">
        <v>10</v>
      </c>
      <c r="B13" t="s">
        <v>69</v>
      </c>
      <c r="C13" s="1">
        <v>20</v>
      </c>
      <c r="D13" s="1">
        <v>4800000</v>
      </c>
      <c r="E13" s="1">
        <v>1</v>
      </c>
      <c r="F13" s="1">
        <v>4</v>
      </c>
      <c r="G13" s="1">
        <v>9</v>
      </c>
      <c r="H13" s="1"/>
      <c r="I13" s="1"/>
      <c r="K13" t="str">
        <v>ASUS CŨ</v>
      </c>
    </row>
    <row r="14" spans="1:11" x14ac:dyDescent="0.3">
      <c r="A14" t="s">
        <v>10</v>
      </c>
      <c r="B14" t="s">
        <v>72</v>
      </c>
      <c r="C14" s="1">
        <v>37</v>
      </c>
      <c r="D14" s="1">
        <v>4200000</v>
      </c>
      <c r="E14" s="1"/>
      <c r="F14" s="1">
        <v>3</v>
      </c>
      <c r="G14" s="1">
        <v>17</v>
      </c>
      <c r="H14" s="1"/>
      <c r="I14" s="1"/>
      <c r="K14" t="str">
        <v>KHÁC CŨ</v>
      </c>
    </row>
    <row r="15" spans="1:11" x14ac:dyDescent="0.3">
      <c r="A15" t="s">
        <v>10</v>
      </c>
      <c r="B15" t="s">
        <v>73</v>
      </c>
      <c r="C15" s="1">
        <v>25</v>
      </c>
      <c r="D15" s="1">
        <v>4200000</v>
      </c>
      <c r="E15" s="1">
        <v>1</v>
      </c>
      <c r="F15" s="1">
        <v>6</v>
      </c>
      <c r="G15" s="1">
        <v>11</v>
      </c>
      <c r="H15" s="1"/>
      <c r="I15" s="1"/>
      <c r="K15" t="str">
        <v>MACBOOK CŨ</v>
      </c>
    </row>
    <row r="16" spans="1:11" x14ac:dyDescent="0.3">
      <c r="A16" t="s">
        <v>10</v>
      </c>
      <c r="B16" t="s">
        <v>74</v>
      </c>
      <c r="C16" s="1">
        <v>6</v>
      </c>
      <c r="D16" s="1">
        <v>6700000</v>
      </c>
      <c r="E16" s="1">
        <v>2</v>
      </c>
      <c r="F16" s="1">
        <v>5</v>
      </c>
      <c r="G16" s="1">
        <v>9</v>
      </c>
      <c r="H16" s="1"/>
      <c r="I16" s="1">
        <v>12</v>
      </c>
      <c r="K16" t="str">
        <v>HONOR CŨ</v>
      </c>
    </row>
    <row r="17" spans="1:9" x14ac:dyDescent="0.3">
      <c r="A17" t="s">
        <v>10</v>
      </c>
      <c r="B17" t="s">
        <v>75</v>
      </c>
      <c r="C17" s="1">
        <v>58</v>
      </c>
      <c r="D17" s="1">
        <v>6400000</v>
      </c>
      <c r="E17" s="1"/>
      <c r="F17" s="1">
        <v>6</v>
      </c>
      <c r="G17" s="1">
        <v>12</v>
      </c>
      <c r="H17" s="1">
        <v>8</v>
      </c>
      <c r="I17" s="1">
        <v>8</v>
      </c>
    </row>
    <row r="18" spans="1:9" x14ac:dyDescent="0.3">
      <c r="A18" t="s">
        <v>10</v>
      </c>
      <c r="B18" t="s">
        <v>76</v>
      </c>
      <c r="C18" s="1">
        <v>35</v>
      </c>
      <c r="D18" s="1">
        <v>20400000</v>
      </c>
      <c r="E18" s="1">
        <v>3</v>
      </c>
      <c r="F18" s="1">
        <v>7</v>
      </c>
      <c r="G18" s="1">
        <v>14</v>
      </c>
      <c r="H18" s="1"/>
      <c r="I18" s="1"/>
    </row>
    <row r="19" spans="1:9" x14ac:dyDescent="0.3">
      <c r="A19" t="s">
        <v>10</v>
      </c>
      <c r="B19" t="s">
        <v>80</v>
      </c>
      <c r="C19" s="1">
        <v>11</v>
      </c>
      <c r="D19" s="1">
        <v>11000000</v>
      </c>
      <c r="E19" s="1">
        <v>-1</v>
      </c>
      <c r="F19" s="1">
        <v>1</v>
      </c>
      <c r="G19" s="1">
        <v>5</v>
      </c>
      <c r="H19" s="1"/>
      <c r="I19" s="1"/>
    </row>
    <row r="20" spans="1:9" x14ac:dyDescent="0.3">
      <c r="A20" t="s">
        <v>10</v>
      </c>
      <c r="B20" t="s">
        <v>81</v>
      </c>
      <c r="C20" s="1">
        <v>22</v>
      </c>
      <c r="D20" s="1">
        <v>11800000</v>
      </c>
      <c r="E20" s="1">
        <v>2</v>
      </c>
      <c r="F20" s="1">
        <v>5</v>
      </c>
      <c r="G20" s="1">
        <v>12</v>
      </c>
      <c r="H20" s="1"/>
      <c r="I20" s="1">
        <v>1</v>
      </c>
    </row>
    <row r="21" spans="1:9" x14ac:dyDescent="0.3">
      <c r="A21" t="s">
        <v>10</v>
      </c>
      <c r="B21" t="s">
        <v>83</v>
      </c>
      <c r="C21" s="1">
        <v>30</v>
      </c>
      <c r="D21" s="1">
        <v>4200000</v>
      </c>
      <c r="E21" s="1">
        <v>2</v>
      </c>
      <c r="F21" s="1">
        <v>4</v>
      </c>
      <c r="G21" s="1">
        <v>14</v>
      </c>
      <c r="H21" s="1"/>
      <c r="I21" s="1"/>
    </row>
    <row r="22" spans="1:9" x14ac:dyDescent="0.3">
      <c r="A22" t="s">
        <v>10</v>
      </c>
      <c r="B22" t="s">
        <v>84</v>
      </c>
      <c r="C22" s="1">
        <v>7</v>
      </c>
      <c r="D22" s="1">
        <v>6700000</v>
      </c>
      <c r="E22" s="1">
        <v>2</v>
      </c>
      <c r="F22" s="1">
        <v>8</v>
      </c>
      <c r="G22" s="1">
        <v>15</v>
      </c>
      <c r="H22" s="1"/>
      <c r="I22" s="1">
        <v>9</v>
      </c>
    </row>
    <row r="23" spans="1:9" x14ac:dyDescent="0.3">
      <c r="A23" t="s">
        <v>10</v>
      </c>
      <c r="B23" t="s">
        <v>85</v>
      </c>
      <c r="C23" s="1">
        <v>19</v>
      </c>
      <c r="D23" s="1">
        <v>16500000</v>
      </c>
      <c r="E23" s="1"/>
      <c r="F23" s="1">
        <v>6</v>
      </c>
      <c r="G23" s="1">
        <v>9</v>
      </c>
      <c r="H23" s="1"/>
      <c r="I23" s="1"/>
    </row>
    <row r="24" spans="1:9" x14ac:dyDescent="0.3">
      <c r="A24" t="s">
        <v>10</v>
      </c>
      <c r="B24" t="s">
        <v>88</v>
      </c>
      <c r="C24" s="1">
        <v>98</v>
      </c>
      <c r="D24" s="1">
        <v>4500000</v>
      </c>
      <c r="E24" s="1">
        <v>5</v>
      </c>
      <c r="F24" s="1">
        <v>8</v>
      </c>
      <c r="G24" s="1">
        <v>12</v>
      </c>
      <c r="H24" s="1"/>
      <c r="I24" s="1"/>
    </row>
    <row r="25" spans="1:9" x14ac:dyDescent="0.3">
      <c r="A25" t="s">
        <v>10</v>
      </c>
      <c r="B25" t="s">
        <v>89</v>
      </c>
      <c r="C25" s="1">
        <v>43</v>
      </c>
      <c r="D25" s="1">
        <v>17000000</v>
      </c>
      <c r="E25" s="1">
        <v>1</v>
      </c>
      <c r="F25" s="1">
        <v>6</v>
      </c>
      <c r="G25" s="1">
        <v>13</v>
      </c>
      <c r="H25" s="1"/>
      <c r="I25" s="1"/>
    </row>
    <row r="26" spans="1:9" x14ac:dyDescent="0.3">
      <c r="A26" t="s">
        <v>93</v>
      </c>
      <c r="B26" t="s">
        <v>3</v>
      </c>
      <c r="C26" s="1">
        <v>9</v>
      </c>
      <c r="D26" s="1">
        <v>7300000</v>
      </c>
      <c r="E26" s="1">
        <v>1</v>
      </c>
      <c r="F26" s="1">
        <v>5</v>
      </c>
      <c r="G26" s="1">
        <v>14</v>
      </c>
      <c r="H26" s="1"/>
      <c r="I26" s="1"/>
    </row>
    <row r="27" spans="1:9" x14ac:dyDescent="0.3">
      <c r="A27" t="s">
        <v>10</v>
      </c>
      <c r="B27" t="s">
        <v>94</v>
      </c>
      <c r="C27" s="1">
        <v>14</v>
      </c>
      <c r="D27" s="1">
        <v>23800000</v>
      </c>
      <c r="E27" s="1">
        <v>1</v>
      </c>
      <c r="F27" s="1">
        <v>6</v>
      </c>
      <c r="G27" s="1">
        <v>12</v>
      </c>
      <c r="H27" s="1"/>
      <c r="I27" s="1">
        <v>16</v>
      </c>
    </row>
    <row r="28" spans="1:9" x14ac:dyDescent="0.3">
      <c r="A28" t="s">
        <v>10</v>
      </c>
      <c r="B28" t="s">
        <v>95</v>
      </c>
      <c r="C28" s="1">
        <v>43</v>
      </c>
      <c r="D28" s="1">
        <v>14000000</v>
      </c>
      <c r="E28" s="1">
        <v>2</v>
      </c>
      <c r="F28" s="1">
        <v>8</v>
      </c>
      <c r="G28" s="1">
        <v>12</v>
      </c>
      <c r="H28" s="1">
        <v>17</v>
      </c>
      <c r="I28" s="1">
        <v>17</v>
      </c>
    </row>
    <row r="29" spans="1:9" x14ac:dyDescent="0.3">
      <c r="A29" t="s">
        <v>96</v>
      </c>
      <c r="B29" t="s">
        <v>0</v>
      </c>
      <c r="C29" s="1">
        <v>4</v>
      </c>
      <c r="D29" s="1">
        <v>8490000</v>
      </c>
      <c r="E29" s="1"/>
      <c r="F29" s="1">
        <v>1</v>
      </c>
      <c r="G29" s="1">
        <v>6</v>
      </c>
      <c r="H29" s="1"/>
      <c r="I29" s="1"/>
    </row>
    <row r="30" spans="1:9" x14ac:dyDescent="0.3">
      <c r="A30" t="s">
        <v>10</v>
      </c>
      <c r="B30" t="s">
        <v>97</v>
      </c>
      <c r="C30" s="1">
        <v>22</v>
      </c>
      <c r="D30" s="1">
        <v>10700000</v>
      </c>
      <c r="E30" s="1">
        <v>1</v>
      </c>
      <c r="F30" s="1">
        <v>6</v>
      </c>
      <c r="G30" s="1">
        <v>6</v>
      </c>
      <c r="H30" s="1">
        <v>12</v>
      </c>
      <c r="I30" s="1">
        <v>12</v>
      </c>
    </row>
    <row r="31" spans="1:9" x14ac:dyDescent="0.3">
      <c r="A31" t="s">
        <v>98</v>
      </c>
      <c r="B31" t="s">
        <v>2</v>
      </c>
      <c r="C31" s="1">
        <v>7</v>
      </c>
      <c r="D31" s="1">
        <v>1790000</v>
      </c>
      <c r="E31" s="1">
        <v>-1</v>
      </c>
      <c r="F31" s="1">
        <v>1</v>
      </c>
      <c r="G31" s="1">
        <v>7</v>
      </c>
      <c r="H31" s="1"/>
      <c r="I31" s="1"/>
    </row>
    <row r="32" spans="1:9" x14ac:dyDescent="0.3">
      <c r="A32" t="s">
        <v>10</v>
      </c>
      <c r="B32" t="s">
        <v>99</v>
      </c>
      <c r="C32" s="1">
        <v>10</v>
      </c>
      <c r="D32" s="1">
        <v>4900000</v>
      </c>
      <c r="E32" s="1"/>
      <c r="F32" s="1">
        <v>4</v>
      </c>
      <c r="G32" s="1">
        <v>7</v>
      </c>
      <c r="H32" s="1"/>
      <c r="I32" s="1"/>
    </row>
    <row r="33" spans="1:9" x14ac:dyDescent="0.3">
      <c r="A33" t="s">
        <v>10</v>
      </c>
      <c r="B33" t="s">
        <v>100</v>
      </c>
      <c r="C33" s="1">
        <v>10</v>
      </c>
      <c r="D33" s="1">
        <v>11600000</v>
      </c>
      <c r="E33" s="1">
        <v>3</v>
      </c>
      <c r="F33" s="1">
        <v>4</v>
      </c>
      <c r="G33" s="1">
        <v>12</v>
      </c>
      <c r="H33" s="1"/>
      <c r="I33" s="1"/>
    </row>
    <row r="34" spans="1:9" x14ac:dyDescent="0.3">
      <c r="A34" t="s">
        <v>10</v>
      </c>
      <c r="B34" t="s">
        <v>101</v>
      </c>
      <c r="C34" s="1">
        <v>3</v>
      </c>
      <c r="D34" s="1">
        <v>15500000</v>
      </c>
      <c r="E34" s="1">
        <v>1</v>
      </c>
      <c r="F34" s="1">
        <v>2</v>
      </c>
      <c r="G34" s="1">
        <v>5</v>
      </c>
      <c r="H34" s="1"/>
      <c r="I34" s="1"/>
    </row>
    <row r="35" spans="1:9" x14ac:dyDescent="0.3">
      <c r="A35" t="s">
        <v>96</v>
      </c>
      <c r="B35" t="s">
        <v>61</v>
      </c>
      <c r="C35" s="1">
        <v>4</v>
      </c>
      <c r="D35" s="1">
        <v>7290000</v>
      </c>
      <c r="E35" s="1"/>
      <c r="F35" s="1">
        <v>4</v>
      </c>
      <c r="G35" s="1">
        <v>11</v>
      </c>
      <c r="H35" s="1"/>
      <c r="I35" s="1"/>
    </row>
    <row r="36" spans="1:9" x14ac:dyDescent="0.3">
      <c r="A36" t="s">
        <v>96</v>
      </c>
      <c r="B36" t="s">
        <v>9</v>
      </c>
      <c r="C36" s="1">
        <v>6</v>
      </c>
      <c r="D36" s="1">
        <v>13190000</v>
      </c>
      <c r="E36" s="1">
        <v>1</v>
      </c>
      <c r="F36" s="1">
        <v>4</v>
      </c>
      <c r="G36" s="1">
        <v>9</v>
      </c>
      <c r="H36" s="1"/>
      <c r="I36" s="1"/>
    </row>
    <row r="37" spans="1:9" x14ac:dyDescent="0.3">
      <c r="A37" t="s">
        <v>10</v>
      </c>
      <c r="B37" t="s">
        <v>105</v>
      </c>
      <c r="C37" s="1">
        <v>21</v>
      </c>
      <c r="D37" s="1">
        <v>9650000</v>
      </c>
      <c r="E37" s="1"/>
      <c r="F37" s="1">
        <v>5</v>
      </c>
      <c r="G37" s="1">
        <v>12</v>
      </c>
      <c r="H37" s="1">
        <v>1</v>
      </c>
      <c r="I37" s="1">
        <v>18</v>
      </c>
    </row>
    <row r="38" spans="1:9" x14ac:dyDescent="0.3">
      <c r="A38" t="s">
        <v>10</v>
      </c>
      <c r="B38" t="s">
        <v>107</v>
      </c>
      <c r="C38" s="1">
        <v>101</v>
      </c>
      <c r="D38" s="1">
        <v>3700000</v>
      </c>
      <c r="E38" s="1">
        <v>4</v>
      </c>
      <c r="F38" s="1">
        <v>5</v>
      </c>
      <c r="G38" s="1">
        <v>8</v>
      </c>
      <c r="H38" s="1"/>
      <c r="I38" s="1"/>
    </row>
    <row r="39" spans="1:9" x14ac:dyDescent="0.3">
      <c r="A39" t="s">
        <v>10</v>
      </c>
      <c r="B39" t="s">
        <v>108</v>
      </c>
      <c r="C39" s="1">
        <v>22</v>
      </c>
      <c r="D39" s="1">
        <v>4900000</v>
      </c>
      <c r="E39" s="1">
        <v>2</v>
      </c>
      <c r="F39" s="1">
        <v>3</v>
      </c>
      <c r="G39" s="1">
        <v>9</v>
      </c>
      <c r="H39" s="1"/>
      <c r="I39" s="1"/>
    </row>
    <row r="40" spans="1:9" x14ac:dyDescent="0.3">
      <c r="A40" t="s">
        <v>10</v>
      </c>
      <c r="B40" t="s">
        <v>109</v>
      </c>
      <c r="C40" s="1">
        <v>34</v>
      </c>
      <c r="D40" s="1">
        <v>9450000</v>
      </c>
      <c r="E40" s="1">
        <v>0</v>
      </c>
      <c r="F40" s="1">
        <v>4</v>
      </c>
      <c r="G40" s="1">
        <v>8</v>
      </c>
      <c r="H40" s="1">
        <v>5</v>
      </c>
      <c r="I40" s="1">
        <v>29</v>
      </c>
    </row>
    <row r="41" spans="1:9" x14ac:dyDescent="0.3">
      <c r="A41" t="s">
        <v>10</v>
      </c>
      <c r="B41" t="s">
        <v>85</v>
      </c>
      <c r="C41" s="1">
        <v>7</v>
      </c>
      <c r="D41" s="1">
        <v>17500000</v>
      </c>
      <c r="E41" s="1">
        <v>0</v>
      </c>
      <c r="F41" s="1">
        <v>2</v>
      </c>
      <c r="G41" s="1">
        <v>6</v>
      </c>
      <c r="H41" s="1"/>
      <c r="I41" s="1"/>
    </row>
    <row r="42" spans="1:9" x14ac:dyDescent="0.3">
      <c r="A42" t="s">
        <v>10</v>
      </c>
      <c r="B42" t="s">
        <v>111</v>
      </c>
      <c r="C42" s="1">
        <v>5</v>
      </c>
      <c r="D42" s="1">
        <v>4900000</v>
      </c>
      <c r="E42" s="1">
        <v>1</v>
      </c>
      <c r="F42" s="1">
        <v>4</v>
      </c>
      <c r="G42" s="1">
        <v>6</v>
      </c>
      <c r="H42" s="1"/>
      <c r="I42" s="1"/>
    </row>
    <row r="43" spans="1:9" x14ac:dyDescent="0.3">
      <c r="A43" t="s">
        <v>10</v>
      </c>
      <c r="B43" t="s">
        <v>112</v>
      </c>
      <c r="C43" s="1">
        <v>69</v>
      </c>
      <c r="D43" s="1">
        <v>7500000</v>
      </c>
      <c r="E43" s="1"/>
      <c r="F43" s="1">
        <v>3</v>
      </c>
      <c r="G43" s="1">
        <v>8</v>
      </c>
      <c r="H43" s="1"/>
      <c r="I43" s="1"/>
    </row>
    <row r="44" spans="1:9" x14ac:dyDescent="0.3">
      <c r="A44" t="s">
        <v>10</v>
      </c>
      <c r="B44" t="s">
        <v>113</v>
      </c>
      <c r="C44" s="1">
        <v>1</v>
      </c>
      <c r="D44" s="1">
        <v>2700000</v>
      </c>
      <c r="E44" s="1">
        <v>1</v>
      </c>
      <c r="F44" s="1">
        <v>3</v>
      </c>
      <c r="G44" s="1">
        <v>8</v>
      </c>
      <c r="H44" s="1"/>
      <c r="I44" s="1"/>
    </row>
    <row r="45" spans="1:9" x14ac:dyDescent="0.3">
      <c r="A45" t="s">
        <v>10</v>
      </c>
      <c r="B45" t="s">
        <v>114</v>
      </c>
      <c r="C45" s="1">
        <v>31</v>
      </c>
      <c r="D45" s="1">
        <v>12500000</v>
      </c>
      <c r="E45" s="1">
        <v>0</v>
      </c>
      <c r="F45" s="1">
        <v>3</v>
      </c>
      <c r="G45" s="1">
        <v>6</v>
      </c>
      <c r="H45" s="1"/>
      <c r="I45" s="1">
        <v>2</v>
      </c>
    </row>
    <row r="46" spans="1:9" x14ac:dyDescent="0.3">
      <c r="A46" t="s">
        <v>10</v>
      </c>
      <c r="B46" t="s">
        <v>115</v>
      </c>
      <c r="C46" s="1">
        <v>19</v>
      </c>
      <c r="D46" s="1">
        <v>22000000</v>
      </c>
      <c r="E46" s="1">
        <v>1</v>
      </c>
      <c r="F46" s="1">
        <v>2</v>
      </c>
      <c r="G46" s="1">
        <v>4</v>
      </c>
      <c r="H46" s="1"/>
      <c r="I46" s="1"/>
    </row>
    <row r="47" spans="1:9" x14ac:dyDescent="0.3">
      <c r="A47" t="s">
        <v>10</v>
      </c>
      <c r="B47" t="s">
        <v>116</v>
      </c>
      <c r="C47" s="1">
        <v>40</v>
      </c>
      <c r="D47" s="1">
        <v>16900000</v>
      </c>
      <c r="E47" s="1">
        <v>1</v>
      </c>
      <c r="F47" s="1">
        <v>3</v>
      </c>
      <c r="G47" s="1">
        <v>9</v>
      </c>
      <c r="H47" s="1">
        <v>10</v>
      </c>
      <c r="I47" s="1">
        <v>10</v>
      </c>
    </row>
    <row r="48" spans="1:9" x14ac:dyDescent="0.3">
      <c r="A48" t="s">
        <v>10</v>
      </c>
      <c r="B48" t="s">
        <v>117</v>
      </c>
      <c r="C48" s="1">
        <v>39</v>
      </c>
      <c r="D48" s="1">
        <v>19000000</v>
      </c>
      <c r="E48" s="1">
        <v>2</v>
      </c>
      <c r="F48" s="1">
        <v>9</v>
      </c>
      <c r="G48" s="1">
        <v>10</v>
      </c>
      <c r="H48" s="1"/>
      <c r="I48" s="1"/>
    </row>
    <row r="49" spans="1:9" x14ac:dyDescent="0.3">
      <c r="A49" t="s">
        <v>10</v>
      </c>
      <c r="B49" t="s">
        <v>120</v>
      </c>
      <c r="C49" s="1">
        <v>4</v>
      </c>
      <c r="D49" s="1">
        <v>4200000</v>
      </c>
      <c r="E49" s="1">
        <v>2</v>
      </c>
      <c r="F49" s="1">
        <v>3</v>
      </c>
      <c r="G49" s="1">
        <v>6</v>
      </c>
      <c r="H49" s="1"/>
      <c r="I49" s="1"/>
    </row>
    <row r="50" spans="1:9" x14ac:dyDescent="0.3">
      <c r="A50" t="s">
        <v>121</v>
      </c>
      <c r="B50" t="s">
        <v>122</v>
      </c>
      <c r="C50" s="1">
        <v>14</v>
      </c>
      <c r="D50" s="1">
        <v>4600000</v>
      </c>
      <c r="E50" s="1">
        <v>3</v>
      </c>
      <c r="F50" s="1">
        <v>3</v>
      </c>
      <c r="G50" s="1">
        <v>3</v>
      </c>
      <c r="H50" s="1"/>
      <c r="I50" s="1"/>
    </row>
    <row r="51" spans="1:9" x14ac:dyDescent="0.3">
      <c r="A51" t="s">
        <v>98</v>
      </c>
      <c r="B51" t="s">
        <v>13</v>
      </c>
      <c r="C51" s="1"/>
      <c r="D51" s="1">
        <v>2790000</v>
      </c>
      <c r="E51" s="1">
        <v>2</v>
      </c>
      <c r="F51" s="1">
        <v>6</v>
      </c>
      <c r="G51" s="1">
        <v>10</v>
      </c>
      <c r="H51" s="1"/>
      <c r="I51" s="1">
        <v>1</v>
      </c>
    </row>
    <row r="52" spans="1:9" x14ac:dyDescent="0.3">
      <c r="A52" t="s">
        <v>93</v>
      </c>
      <c r="B52" t="s">
        <v>124</v>
      </c>
      <c r="C52" s="1">
        <v>7</v>
      </c>
      <c r="D52" s="1">
        <v>10900000</v>
      </c>
      <c r="E52" s="1">
        <v>5</v>
      </c>
      <c r="F52" s="1">
        <v>6</v>
      </c>
      <c r="G52" s="1">
        <v>7</v>
      </c>
      <c r="H52" s="1"/>
      <c r="I52" s="1"/>
    </row>
    <row r="53" spans="1:9" x14ac:dyDescent="0.3">
      <c r="A53" t="s">
        <v>125</v>
      </c>
      <c r="B53" t="s">
        <v>126</v>
      </c>
      <c r="C53" s="1">
        <v>2</v>
      </c>
      <c r="D53" s="1">
        <v>2800000</v>
      </c>
      <c r="E53" s="1">
        <v>1</v>
      </c>
      <c r="F53" s="1">
        <v>1</v>
      </c>
      <c r="G53" s="1">
        <v>3</v>
      </c>
      <c r="H53" s="1"/>
      <c r="I53" s="1"/>
    </row>
    <row r="54" spans="1:9" x14ac:dyDescent="0.3">
      <c r="A54" t="s">
        <v>93</v>
      </c>
      <c r="B54" t="s">
        <v>129</v>
      </c>
      <c r="C54" s="1"/>
      <c r="D54" s="1">
        <v>6600000</v>
      </c>
      <c r="E54" s="1"/>
      <c r="F54" s="1">
        <v>2</v>
      </c>
      <c r="G54" s="1">
        <v>4</v>
      </c>
      <c r="H54" s="1"/>
      <c r="I54" s="1"/>
    </row>
    <row r="55" spans="1:9" x14ac:dyDescent="0.3">
      <c r="A55" t="s">
        <v>93</v>
      </c>
      <c r="B55" t="s">
        <v>26</v>
      </c>
      <c r="C55" s="1">
        <v>2</v>
      </c>
      <c r="D55" s="1">
        <v>8600000</v>
      </c>
      <c r="E55" s="1"/>
      <c r="F55" s="1">
        <v>2</v>
      </c>
      <c r="G55" s="1">
        <v>4</v>
      </c>
      <c r="H55" s="1"/>
      <c r="I55" s="1"/>
    </row>
    <row r="56" spans="1:9" x14ac:dyDescent="0.3">
      <c r="A56" t="s">
        <v>10</v>
      </c>
      <c r="B56" t="s">
        <v>130</v>
      </c>
      <c r="C56" s="1">
        <v>60</v>
      </c>
      <c r="D56" s="1">
        <v>3700000</v>
      </c>
      <c r="E56" s="1">
        <v>1</v>
      </c>
      <c r="F56" s="1">
        <v>1</v>
      </c>
      <c r="G56" s="1">
        <v>6</v>
      </c>
      <c r="H56" s="1"/>
      <c r="I56" s="1"/>
    </row>
    <row r="57" spans="1:9" x14ac:dyDescent="0.3">
      <c r="A57" t="s">
        <v>10</v>
      </c>
      <c r="B57" t="s">
        <v>131</v>
      </c>
      <c r="C57" s="1">
        <v>21</v>
      </c>
      <c r="D57" s="1">
        <v>9450000</v>
      </c>
      <c r="E57" s="1"/>
      <c r="F57" s="1">
        <v>2</v>
      </c>
      <c r="G57" s="1">
        <v>6</v>
      </c>
      <c r="H57" s="1"/>
      <c r="I57" s="1">
        <v>13</v>
      </c>
    </row>
    <row r="58" spans="1:9" x14ac:dyDescent="0.3">
      <c r="A58" t="s">
        <v>10</v>
      </c>
      <c r="B58" t="s">
        <v>132</v>
      </c>
      <c r="C58" s="1">
        <v>2</v>
      </c>
      <c r="D58" s="1">
        <v>2700000</v>
      </c>
      <c r="E58" s="1"/>
      <c r="F58" s="1">
        <v>2</v>
      </c>
      <c r="G58" s="1">
        <v>4</v>
      </c>
      <c r="H58" s="1"/>
      <c r="I58" s="1">
        <v>1</v>
      </c>
    </row>
    <row r="59" spans="1:9" x14ac:dyDescent="0.3">
      <c r="A59" t="s">
        <v>10</v>
      </c>
      <c r="B59" t="s">
        <v>133</v>
      </c>
      <c r="C59" s="1">
        <v>12</v>
      </c>
      <c r="D59" s="1">
        <v>16500000</v>
      </c>
      <c r="E59" s="1"/>
      <c r="F59" s="1">
        <v>3</v>
      </c>
      <c r="G59" s="1">
        <v>5</v>
      </c>
      <c r="H59" s="1"/>
      <c r="I59" s="1"/>
    </row>
    <row r="60" spans="1:9" x14ac:dyDescent="0.3">
      <c r="A60" t="s">
        <v>96</v>
      </c>
      <c r="B60" t="s">
        <v>134</v>
      </c>
      <c r="C60" s="1">
        <v>2</v>
      </c>
      <c r="D60" s="1">
        <v>7000000</v>
      </c>
      <c r="E60" s="1"/>
      <c r="F60" s="1">
        <v>1</v>
      </c>
      <c r="G60" s="1">
        <v>5</v>
      </c>
      <c r="H60" s="1"/>
      <c r="I60" s="1"/>
    </row>
    <row r="61" spans="1:9" x14ac:dyDescent="0.3">
      <c r="A61" t="s">
        <v>10</v>
      </c>
      <c r="B61" t="s">
        <v>138</v>
      </c>
      <c r="C61" s="1">
        <v>1</v>
      </c>
      <c r="D61" s="1">
        <v>11300000</v>
      </c>
      <c r="E61" s="1">
        <v>2</v>
      </c>
      <c r="F61" s="1">
        <v>3</v>
      </c>
      <c r="G61" s="1">
        <v>6</v>
      </c>
      <c r="H61" s="1"/>
      <c r="I61" s="1"/>
    </row>
    <row r="62" spans="1:9" x14ac:dyDescent="0.3">
      <c r="A62" t="s">
        <v>10</v>
      </c>
      <c r="B62" t="s">
        <v>139</v>
      </c>
      <c r="C62" s="1">
        <v>12</v>
      </c>
      <c r="D62" s="1">
        <v>2700000</v>
      </c>
      <c r="E62" s="1">
        <v>2</v>
      </c>
      <c r="F62" s="1">
        <v>2</v>
      </c>
      <c r="G62" s="1">
        <v>5</v>
      </c>
      <c r="H62" s="1"/>
      <c r="I62" s="1">
        <v>2</v>
      </c>
    </row>
    <row r="63" spans="1:9" x14ac:dyDescent="0.3">
      <c r="A63" t="s">
        <v>10</v>
      </c>
      <c r="B63" t="s">
        <v>140</v>
      </c>
      <c r="C63" s="1">
        <v>8</v>
      </c>
      <c r="D63" s="1">
        <v>20000000</v>
      </c>
      <c r="E63" s="1"/>
      <c r="F63" s="1">
        <v>1</v>
      </c>
      <c r="G63" s="1">
        <v>3</v>
      </c>
      <c r="H63" s="1"/>
      <c r="I63" s="1"/>
    </row>
    <row r="64" spans="1:9" x14ac:dyDescent="0.3">
      <c r="A64" t="s">
        <v>96</v>
      </c>
      <c r="B64" t="s">
        <v>141</v>
      </c>
      <c r="C64" s="1">
        <v>3</v>
      </c>
      <c r="D64" s="1">
        <v>1800000</v>
      </c>
      <c r="E64" s="1"/>
      <c r="F64" s="1"/>
      <c r="G64" s="1">
        <v>2</v>
      </c>
      <c r="H64" s="1"/>
      <c r="I64" s="1"/>
    </row>
    <row r="65" spans="1:9" x14ac:dyDescent="0.3">
      <c r="A65" t="s">
        <v>96</v>
      </c>
      <c r="B65" t="s">
        <v>25</v>
      </c>
      <c r="C65" s="1">
        <v>3</v>
      </c>
      <c r="D65" s="1">
        <v>14290000</v>
      </c>
      <c r="E65" s="1">
        <v>2</v>
      </c>
      <c r="F65" s="1">
        <v>2</v>
      </c>
      <c r="G65" s="1">
        <v>6</v>
      </c>
      <c r="H65" s="1"/>
      <c r="I65" s="1"/>
    </row>
    <row r="66" spans="1:9" x14ac:dyDescent="0.3">
      <c r="A66" t="s">
        <v>142</v>
      </c>
      <c r="B66" t="s">
        <v>38</v>
      </c>
      <c r="C66" s="1">
        <v>3</v>
      </c>
      <c r="D66" s="1">
        <v>5590000</v>
      </c>
      <c r="E66" s="1"/>
      <c r="F66" s="1">
        <v>1</v>
      </c>
      <c r="G66" s="1">
        <v>5</v>
      </c>
      <c r="H66" s="1"/>
      <c r="I66" s="1"/>
    </row>
    <row r="67" spans="1:9" x14ac:dyDescent="0.3">
      <c r="A67" t="s">
        <v>142</v>
      </c>
      <c r="B67" t="s">
        <v>12</v>
      </c>
      <c r="C67" s="1">
        <v>4</v>
      </c>
      <c r="D67" s="1">
        <v>4290000</v>
      </c>
      <c r="E67" s="1"/>
      <c r="F67" s="1">
        <v>1</v>
      </c>
      <c r="G67" s="1">
        <v>5</v>
      </c>
      <c r="H67" s="1"/>
      <c r="I67" s="1"/>
    </row>
    <row r="68" spans="1:9" x14ac:dyDescent="0.3">
      <c r="A68" t="s">
        <v>143</v>
      </c>
      <c r="B68" t="s">
        <v>135</v>
      </c>
      <c r="C68" s="1">
        <v>2</v>
      </c>
      <c r="D68" s="1">
        <v>5190000</v>
      </c>
      <c r="E68" s="1"/>
      <c r="F68" s="1">
        <v>2</v>
      </c>
      <c r="G68" s="1">
        <v>5</v>
      </c>
      <c r="H68" s="1"/>
      <c r="I68" s="1"/>
    </row>
    <row r="69" spans="1:9" x14ac:dyDescent="0.3">
      <c r="A69" t="s">
        <v>93</v>
      </c>
      <c r="B69" t="s">
        <v>144</v>
      </c>
      <c r="C69" s="1">
        <v>5</v>
      </c>
      <c r="D69" s="1">
        <v>11200000</v>
      </c>
      <c r="E69" s="1"/>
      <c r="F69" s="1"/>
      <c r="G69" s="1">
        <v>2</v>
      </c>
      <c r="H69" s="1"/>
      <c r="I69" s="1"/>
    </row>
    <row r="70" spans="1:9" x14ac:dyDescent="0.3">
      <c r="A70" t="s">
        <v>10</v>
      </c>
      <c r="B70" t="s">
        <v>145</v>
      </c>
      <c r="C70" s="1">
        <v>22</v>
      </c>
      <c r="D70" s="1">
        <v>3100000</v>
      </c>
      <c r="E70" s="1"/>
      <c r="F70" s="1"/>
      <c r="G70" s="1">
        <v>2</v>
      </c>
      <c r="H70" s="1"/>
      <c r="I70" s="1"/>
    </row>
    <row r="71" spans="1:9" x14ac:dyDescent="0.3">
      <c r="A71" t="s">
        <v>10</v>
      </c>
      <c r="B71" t="s">
        <v>146</v>
      </c>
      <c r="C71" s="1">
        <v>5</v>
      </c>
      <c r="D71" s="1">
        <v>7600000</v>
      </c>
      <c r="E71" s="1">
        <v>1</v>
      </c>
      <c r="F71" s="1">
        <v>3</v>
      </c>
      <c r="G71" s="1">
        <v>1</v>
      </c>
      <c r="H71" s="1"/>
      <c r="I71" s="1">
        <v>3</v>
      </c>
    </row>
    <row r="72" spans="1:9" x14ac:dyDescent="0.3">
      <c r="A72" t="s">
        <v>10</v>
      </c>
      <c r="B72" t="s">
        <v>147</v>
      </c>
      <c r="C72" s="1">
        <v>13</v>
      </c>
      <c r="D72" s="1">
        <v>14000000</v>
      </c>
      <c r="E72" s="1"/>
      <c r="F72" s="1"/>
      <c r="G72" s="1">
        <v>3</v>
      </c>
      <c r="H72" s="1"/>
      <c r="I72" s="1"/>
    </row>
    <row r="73" spans="1:9" x14ac:dyDescent="0.3">
      <c r="A73" t="s">
        <v>10</v>
      </c>
      <c r="B73" t="s">
        <v>148</v>
      </c>
      <c r="C73" s="1">
        <v>30</v>
      </c>
      <c r="D73" s="1">
        <v>17100000</v>
      </c>
      <c r="E73" s="1"/>
      <c r="F73" s="1">
        <v>1</v>
      </c>
      <c r="G73" s="1">
        <v>3</v>
      </c>
      <c r="H73" s="1"/>
      <c r="I73" s="1">
        <v>1</v>
      </c>
    </row>
    <row r="74" spans="1:9" x14ac:dyDescent="0.3">
      <c r="A74" t="s">
        <v>10</v>
      </c>
      <c r="B74" t="s">
        <v>149</v>
      </c>
      <c r="C74" s="1">
        <v>2</v>
      </c>
      <c r="D74" s="1">
        <v>26300000</v>
      </c>
      <c r="E74" s="1"/>
      <c r="F74" s="1"/>
      <c r="G74" s="1">
        <v>5</v>
      </c>
      <c r="H74" s="1"/>
      <c r="I74" s="1"/>
    </row>
    <row r="75" spans="1:9" x14ac:dyDescent="0.3">
      <c r="A75" t="s">
        <v>10</v>
      </c>
      <c r="B75" t="s">
        <v>150</v>
      </c>
      <c r="C75" s="1">
        <v>21</v>
      </c>
      <c r="D75" s="1">
        <v>24200000</v>
      </c>
      <c r="E75" s="1"/>
      <c r="F75" s="1">
        <v>1</v>
      </c>
      <c r="G75" s="1">
        <v>2</v>
      </c>
      <c r="H75" s="1"/>
      <c r="I75" s="1">
        <v>2</v>
      </c>
    </row>
    <row r="76" spans="1:9" x14ac:dyDescent="0.3">
      <c r="A76" t="s">
        <v>125</v>
      </c>
      <c r="B76" t="s">
        <v>21</v>
      </c>
      <c r="C76" s="1">
        <v>6</v>
      </c>
      <c r="D76" s="1">
        <v>2790000</v>
      </c>
      <c r="E76" s="1"/>
      <c r="F76" s="1">
        <v>1</v>
      </c>
      <c r="G76" s="1">
        <v>5</v>
      </c>
      <c r="H76" s="1"/>
      <c r="I76" s="1"/>
    </row>
    <row r="77" spans="1:9" x14ac:dyDescent="0.3">
      <c r="A77" t="s">
        <v>121</v>
      </c>
      <c r="B77" t="s">
        <v>17</v>
      </c>
      <c r="C77" s="1"/>
      <c r="D77" s="1">
        <v>5090000</v>
      </c>
      <c r="E77" s="1">
        <v>1</v>
      </c>
      <c r="F77" s="1">
        <v>1</v>
      </c>
      <c r="G77" s="1">
        <v>3</v>
      </c>
      <c r="H77" s="1"/>
      <c r="I77" s="1"/>
    </row>
    <row r="78" spans="1:9" x14ac:dyDescent="0.3">
      <c r="A78" t="s">
        <v>121</v>
      </c>
      <c r="B78" t="s">
        <v>30</v>
      </c>
      <c r="C78" s="1">
        <v>10</v>
      </c>
      <c r="D78" s="1">
        <v>6590000</v>
      </c>
      <c r="E78" s="1"/>
      <c r="F78" s="1">
        <v>2</v>
      </c>
      <c r="G78" s="1">
        <v>4</v>
      </c>
      <c r="H78" s="1"/>
      <c r="I78" s="1"/>
    </row>
    <row r="79" spans="1:9" x14ac:dyDescent="0.3">
      <c r="A79" t="s">
        <v>96</v>
      </c>
      <c r="B79" t="s">
        <v>1</v>
      </c>
      <c r="C79" s="1">
        <v>1</v>
      </c>
      <c r="D79" s="1">
        <v>16490000</v>
      </c>
      <c r="E79" s="1"/>
      <c r="F79" s="1">
        <v>1</v>
      </c>
      <c r="G79" s="1">
        <v>1</v>
      </c>
      <c r="H79" s="1"/>
      <c r="I79" s="1"/>
    </row>
    <row r="80" spans="1:9" x14ac:dyDescent="0.3">
      <c r="A80" t="s">
        <v>98</v>
      </c>
      <c r="B80" t="s">
        <v>151</v>
      </c>
      <c r="C80" s="1">
        <v>6</v>
      </c>
      <c r="D80" s="1">
        <v>3090000</v>
      </c>
      <c r="E80" s="1">
        <v>1</v>
      </c>
      <c r="F80" s="1">
        <v>2</v>
      </c>
      <c r="G80" s="1">
        <v>5</v>
      </c>
      <c r="H80" s="1"/>
      <c r="I80" s="1"/>
    </row>
    <row r="81" spans="1:9" x14ac:dyDescent="0.3">
      <c r="A81" t="s">
        <v>156</v>
      </c>
      <c r="B81" t="s">
        <v>157</v>
      </c>
      <c r="C81" s="1">
        <v>13</v>
      </c>
      <c r="D81" s="1">
        <v>4800000</v>
      </c>
      <c r="E81" s="1">
        <v>1</v>
      </c>
      <c r="F81" s="1">
        <v>2</v>
      </c>
      <c r="G81" s="1">
        <v>2</v>
      </c>
      <c r="H81" s="1"/>
      <c r="I81" s="1"/>
    </row>
    <row r="82" spans="1:9" x14ac:dyDescent="0.3">
      <c r="A82" t="s">
        <v>10</v>
      </c>
      <c r="B82" t="s">
        <v>158</v>
      </c>
      <c r="C82" s="1">
        <v>8</v>
      </c>
      <c r="D82" s="1">
        <v>3400000</v>
      </c>
      <c r="E82" s="1">
        <v>1</v>
      </c>
      <c r="F82" s="1">
        <v>3</v>
      </c>
      <c r="G82" s="1">
        <v>4</v>
      </c>
      <c r="H82" s="1"/>
      <c r="I82" s="1"/>
    </row>
    <row r="83" spans="1:9" x14ac:dyDescent="0.3">
      <c r="A83" t="s">
        <v>10</v>
      </c>
      <c r="B83" t="s">
        <v>159</v>
      </c>
      <c r="C83" s="1">
        <v>4</v>
      </c>
      <c r="D83" s="1">
        <v>4800000</v>
      </c>
      <c r="E83" s="1"/>
      <c r="F83" s="1">
        <v>1</v>
      </c>
      <c r="G83" s="1">
        <v>2</v>
      </c>
      <c r="H83" s="1"/>
      <c r="I83" s="1"/>
    </row>
    <row r="84" spans="1:9" x14ac:dyDescent="0.3">
      <c r="A84" t="s">
        <v>10</v>
      </c>
      <c r="B84" t="s">
        <v>160</v>
      </c>
      <c r="C84" s="1">
        <v>6</v>
      </c>
      <c r="D84" s="1">
        <v>4900000</v>
      </c>
      <c r="E84" s="1">
        <v>1</v>
      </c>
      <c r="F84" s="1">
        <v>3</v>
      </c>
      <c r="G84" s="1">
        <v>5</v>
      </c>
      <c r="H84" s="1"/>
      <c r="I84" s="1"/>
    </row>
    <row r="85" spans="1:9" x14ac:dyDescent="0.3">
      <c r="A85" t="s">
        <v>10</v>
      </c>
      <c r="B85" t="s">
        <v>161</v>
      </c>
      <c r="C85" s="1">
        <v>1</v>
      </c>
      <c r="D85" s="1">
        <v>6700000</v>
      </c>
      <c r="E85" s="1"/>
      <c r="F85" s="1">
        <v>3</v>
      </c>
      <c r="G85" s="1">
        <v>5</v>
      </c>
      <c r="H85" s="1"/>
      <c r="I85" s="1">
        <v>2</v>
      </c>
    </row>
    <row r="86" spans="1:9" x14ac:dyDescent="0.3">
      <c r="A86" t="s">
        <v>10</v>
      </c>
      <c r="B86" t="s">
        <v>162</v>
      </c>
      <c r="C86" s="1">
        <v>2</v>
      </c>
      <c r="D86" s="1">
        <v>6400000</v>
      </c>
      <c r="E86" s="1"/>
      <c r="F86" s="1">
        <v>1</v>
      </c>
      <c r="G86" s="1">
        <v>2</v>
      </c>
      <c r="H86" s="1">
        <v>3</v>
      </c>
      <c r="I86" s="1">
        <v>3</v>
      </c>
    </row>
    <row r="87" spans="1:9" x14ac:dyDescent="0.3">
      <c r="A87" t="s">
        <v>10</v>
      </c>
      <c r="B87" t="s">
        <v>163</v>
      </c>
      <c r="C87" s="1">
        <v>12</v>
      </c>
      <c r="D87" s="1">
        <v>12500000</v>
      </c>
      <c r="E87" s="1">
        <v>-1</v>
      </c>
      <c r="F87" s="1">
        <v>0</v>
      </c>
      <c r="G87" s="1">
        <v>4</v>
      </c>
      <c r="H87" s="1"/>
      <c r="I87" s="1"/>
    </row>
    <row r="88" spans="1:9" x14ac:dyDescent="0.3">
      <c r="A88" t="s">
        <v>10</v>
      </c>
      <c r="B88" t="s">
        <v>164</v>
      </c>
      <c r="C88" s="1"/>
      <c r="D88" s="1">
        <v>10100000</v>
      </c>
      <c r="E88" s="1"/>
      <c r="F88" s="1">
        <v>1</v>
      </c>
      <c r="G88" s="1">
        <v>5</v>
      </c>
      <c r="H88" s="1"/>
      <c r="I88" s="1">
        <v>1</v>
      </c>
    </row>
    <row r="89" spans="1:9" x14ac:dyDescent="0.3">
      <c r="A89" t="s">
        <v>10</v>
      </c>
      <c r="B89" t="s">
        <v>4</v>
      </c>
      <c r="C89" s="1">
        <v>13</v>
      </c>
      <c r="D89" s="1">
        <v>26000000</v>
      </c>
      <c r="E89" s="1"/>
      <c r="F89" s="1"/>
      <c r="G89" s="1">
        <v>1</v>
      </c>
      <c r="H89" s="1"/>
      <c r="I89" s="1"/>
    </row>
    <row r="90" spans="1:9" x14ac:dyDescent="0.3">
      <c r="A90" t="s">
        <v>125</v>
      </c>
      <c r="B90" t="s">
        <v>165</v>
      </c>
      <c r="C90" s="1">
        <v>1</v>
      </c>
      <c r="D90" s="1">
        <v>750000</v>
      </c>
      <c r="E90" s="1"/>
      <c r="F90" s="1">
        <v>-1</v>
      </c>
      <c r="G90" s="1">
        <v>0</v>
      </c>
      <c r="H90" s="1"/>
      <c r="I90" s="1"/>
    </row>
    <row r="91" spans="1:9" x14ac:dyDescent="0.3">
      <c r="A91" t="s">
        <v>125</v>
      </c>
      <c r="B91" t="s">
        <v>24</v>
      </c>
      <c r="C91" s="1">
        <v>8</v>
      </c>
      <c r="D91" s="1">
        <v>1890000</v>
      </c>
      <c r="E91" s="1">
        <v>1</v>
      </c>
      <c r="F91" s="1">
        <v>2</v>
      </c>
      <c r="G91" s="1">
        <v>6</v>
      </c>
      <c r="H91" s="1"/>
      <c r="I91" s="1"/>
    </row>
    <row r="92" spans="1:9" x14ac:dyDescent="0.3">
      <c r="A92" t="s">
        <v>96</v>
      </c>
      <c r="B92" t="s">
        <v>35</v>
      </c>
      <c r="C92" s="1">
        <v>1</v>
      </c>
      <c r="D92" s="1">
        <v>3490000</v>
      </c>
      <c r="E92" s="1"/>
      <c r="F92" s="1">
        <v>1</v>
      </c>
      <c r="G92" s="1">
        <v>4</v>
      </c>
      <c r="H92" s="1"/>
      <c r="I92" s="1"/>
    </row>
    <row r="93" spans="1:9" x14ac:dyDescent="0.3">
      <c r="A93" t="s">
        <v>96</v>
      </c>
      <c r="B93" t="s">
        <v>5</v>
      </c>
      <c r="C93" s="1">
        <v>5</v>
      </c>
      <c r="D93" s="1">
        <v>5590000</v>
      </c>
      <c r="E93" s="1">
        <v>2</v>
      </c>
      <c r="F93" s="1">
        <v>3</v>
      </c>
      <c r="G93" s="1">
        <v>5</v>
      </c>
      <c r="H93" s="1"/>
      <c r="I93" s="1"/>
    </row>
    <row r="94" spans="1:9" x14ac:dyDescent="0.3">
      <c r="A94" t="s">
        <v>96</v>
      </c>
      <c r="B94" t="s">
        <v>7</v>
      </c>
      <c r="C94" s="1">
        <v>7</v>
      </c>
      <c r="D94" s="1">
        <v>7090000</v>
      </c>
      <c r="E94" s="1">
        <v>1</v>
      </c>
      <c r="F94" s="1">
        <v>2</v>
      </c>
      <c r="G94" s="1">
        <v>3</v>
      </c>
      <c r="H94" s="1"/>
      <c r="I94" s="1"/>
    </row>
    <row r="95" spans="1:9" x14ac:dyDescent="0.3">
      <c r="A95" t="s">
        <v>96</v>
      </c>
      <c r="B95" t="s">
        <v>166</v>
      </c>
      <c r="C95" s="1">
        <v>3</v>
      </c>
      <c r="D95" s="1">
        <v>6000000</v>
      </c>
      <c r="E95" s="1"/>
      <c r="F95" s="1">
        <v>1</v>
      </c>
      <c r="G95" s="1">
        <v>3</v>
      </c>
      <c r="H95" s="1"/>
      <c r="I95" s="1"/>
    </row>
    <row r="96" spans="1:9" x14ac:dyDescent="0.3">
      <c r="A96" t="s">
        <v>98</v>
      </c>
      <c r="B96" t="s">
        <v>36</v>
      </c>
      <c r="C96" s="1">
        <v>3</v>
      </c>
      <c r="D96" s="1">
        <v>1450000</v>
      </c>
      <c r="E96" s="1"/>
      <c r="F96" s="1">
        <v>1</v>
      </c>
      <c r="G96" s="1">
        <v>4</v>
      </c>
      <c r="H96" s="1"/>
      <c r="I96" s="1"/>
    </row>
    <row r="97" spans="1:9" x14ac:dyDescent="0.3">
      <c r="A97" t="s">
        <v>93</v>
      </c>
      <c r="B97" t="s">
        <v>170</v>
      </c>
      <c r="C97" s="1">
        <v>11</v>
      </c>
      <c r="D97" s="1">
        <v>6600000</v>
      </c>
      <c r="E97" s="1"/>
      <c r="F97" s="1">
        <v>1</v>
      </c>
      <c r="G97" s="1">
        <v>3</v>
      </c>
      <c r="H97" s="1"/>
      <c r="I97" s="1"/>
    </row>
    <row r="98" spans="1:9" x14ac:dyDescent="0.3">
      <c r="A98" t="s">
        <v>93</v>
      </c>
      <c r="B98" t="s">
        <v>171</v>
      </c>
      <c r="C98" s="1">
        <v>3</v>
      </c>
      <c r="D98" s="1">
        <v>15900000</v>
      </c>
      <c r="E98" s="1"/>
      <c r="F98" s="1"/>
      <c r="G98" s="1">
        <v>3</v>
      </c>
      <c r="H98" s="1"/>
      <c r="I98" s="1"/>
    </row>
    <row r="99" spans="1:9" x14ac:dyDescent="0.3">
      <c r="A99" t="s">
        <v>10</v>
      </c>
      <c r="B99" t="s">
        <v>172</v>
      </c>
      <c r="C99" s="1">
        <v>3</v>
      </c>
      <c r="D99" s="1">
        <v>3000000</v>
      </c>
      <c r="E99" s="1"/>
      <c r="F99" s="1">
        <v>0</v>
      </c>
      <c r="G99" s="1">
        <v>3</v>
      </c>
      <c r="H99" s="1"/>
      <c r="I99" s="1"/>
    </row>
    <row r="100" spans="1:9" x14ac:dyDescent="0.3">
      <c r="A100" t="s">
        <v>10</v>
      </c>
      <c r="B100" t="s">
        <v>173</v>
      </c>
      <c r="C100" s="1">
        <v>2</v>
      </c>
      <c r="D100" s="1">
        <v>3200000</v>
      </c>
      <c r="E100" s="1"/>
      <c r="F100" s="1"/>
      <c r="G100" s="1">
        <v>4</v>
      </c>
      <c r="H100" s="1"/>
      <c r="I100" s="1"/>
    </row>
    <row r="101" spans="1:9" x14ac:dyDescent="0.3">
      <c r="A101" t="s">
        <v>10</v>
      </c>
      <c r="B101" t="s">
        <v>174</v>
      </c>
      <c r="C101" s="1">
        <v>52</v>
      </c>
      <c r="D101" s="1">
        <v>3100000</v>
      </c>
      <c r="E101" s="1">
        <v>1</v>
      </c>
      <c r="F101" s="1">
        <v>2</v>
      </c>
      <c r="G101" s="1">
        <v>3</v>
      </c>
      <c r="H101" s="1"/>
      <c r="I101" s="1"/>
    </row>
    <row r="102" spans="1:9" x14ac:dyDescent="0.3">
      <c r="A102" t="s">
        <v>10</v>
      </c>
      <c r="B102" t="s">
        <v>46</v>
      </c>
      <c r="C102" s="1">
        <v>7</v>
      </c>
      <c r="D102" s="1">
        <v>6500000</v>
      </c>
      <c r="E102" s="1"/>
      <c r="F102" s="1">
        <v>1</v>
      </c>
      <c r="G102" s="1">
        <v>2</v>
      </c>
      <c r="H102" s="1"/>
      <c r="I102" s="1"/>
    </row>
    <row r="103" spans="1:9" x14ac:dyDescent="0.3">
      <c r="A103" t="s">
        <v>10</v>
      </c>
      <c r="B103" t="s">
        <v>140</v>
      </c>
      <c r="C103" s="1">
        <v>75</v>
      </c>
      <c r="D103" s="1">
        <v>14000000</v>
      </c>
      <c r="E103" s="1">
        <v>2</v>
      </c>
      <c r="F103" s="1">
        <v>4</v>
      </c>
      <c r="G103" s="1">
        <v>5</v>
      </c>
      <c r="H103" s="1"/>
      <c r="I103" s="1"/>
    </row>
    <row r="104" spans="1:9" x14ac:dyDescent="0.3">
      <c r="A104" t="s">
        <v>10</v>
      </c>
      <c r="B104" t="s">
        <v>34</v>
      </c>
      <c r="C104" s="1">
        <v>5</v>
      </c>
      <c r="D104" s="1">
        <v>11700000</v>
      </c>
      <c r="E104" s="1"/>
      <c r="F104" s="1"/>
      <c r="G104" s="1"/>
      <c r="H104" s="1"/>
      <c r="I104" s="1"/>
    </row>
    <row r="105" spans="1:9" x14ac:dyDescent="0.3">
      <c r="A105" t="s">
        <v>10</v>
      </c>
      <c r="B105" t="s">
        <v>116</v>
      </c>
      <c r="C105" s="1">
        <v>2</v>
      </c>
      <c r="D105" s="1">
        <v>19000000</v>
      </c>
      <c r="E105" s="1"/>
      <c r="F105" s="1">
        <v>2</v>
      </c>
      <c r="G105" s="1">
        <v>2</v>
      </c>
      <c r="H105" s="1"/>
      <c r="I105" s="1"/>
    </row>
    <row r="106" spans="1:9" x14ac:dyDescent="0.3">
      <c r="A106" t="s">
        <v>10</v>
      </c>
      <c r="B106" t="s">
        <v>8</v>
      </c>
      <c r="C106" s="1">
        <v>3</v>
      </c>
      <c r="D106" s="1">
        <v>19000000</v>
      </c>
      <c r="E106" s="1"/>
      <c r="F106" s="1"/>
      <c r="G106" s="1">
        <v>2</v>
      </c>
      <c r="H106" s="1"/>
      <c r="I106" s="1"/>
    </row>
    <row r="107" spans="1:9" x14ac:dyDescent="0.3">
      <c r="A107" t="s">
        <v>10</v>
      </c>
      <c r="B107" t="s">
        <v>15</v>
      </c>
      <c r="C107" s="1">
        <v>3</v>
      </c>
      <c r="D107" s="1">
        <v>10000000</v>
      </c>
      <c r="E107" s="1"/>
      <c r="F107" s="1">
        <v>2</v>
      </c>
      <c r="G107" s="1">
        <v>3</v>
      </c>
      <c r="H107" s="1"/>
      <c r="I107" s="1"/>
    </row>
    <row r="108" spans="1:9" x14ac:dyDescent="0.3">
      <c r="A108" t="s">
        <v>175</v>
      </c>
      <c r="B108" t="s">
        <v>176</v>
      </c>
      <c r="C108" s="1">
        <v>1</v>
      </c>
      <c r="D108" s="1">
        <v>3600000</v>
      </c>
      <c r="E108" s="1"/>
      <c r="F108" s="1"/>
      <c r="G108" s="1">
        <v>2</v>
      </c>
      <c r="H108" s="1"/>
      <c r="I108" s="1"/>
    </row>
    <row r="109" spans="1:9" x14ac:dyDescent="0.3">
      <c r="A109" t="s">
        <v>96</v>
      </c>
      <c r="B109" t="s">
        <v>177</v>
      </c>
      <c r="C109" s="1"/>
      <c r="D109" s="1">
        <v>3300000</v>
      </c>
      <c r="E109" s="1"/>
      <c r="F109" s="1">
        <v>3</v>
      </c>
      <c r="G109" s="1">
        <v>4</v>
      </c>
      <c r="H109" s="1"/>
      <c r="I109" s="1"/>
    </row>
    <row r="110" spans="1:9" x14ac:dyDescent="0.3">
      <c r="A110" t="s">
        <v>96</v>
      </c>
      <c r="B110" t="s">
        <v>33</v>
      </c>
      <c r="C110" s="1">
        <v>0</v>
      </c>
      <c r="D110" s="1">
        <v>18290000</v>
      </c>
      <c r="E110" s="1"/>
      <c r="F110" s="1"/>
      <c r="G110" s="1">
        <v>2</v>
      </c>
      <c r="H110" s="1"/>
      <c r="I110" s="1"/>
    </row>
    <row r="111" spans="1:9" x14ac:dyDescent="0.3">
      <c r="A111" t="s">
        <v>142</v>
      </c>
      <c r="B111" t="s">
        <v>22</v>
      </c>
      <c r="C111" s="1"/>
      <c r="D111" s="1">
        <v>2390000</v>
      </c>
      <c r="E111" s="1"/>
      <c r="F111" s="1">
        <v>1</v>
      </c>
      <c r="G111" s="1">
        <v>4</v>
      </c>
      <c r="H111" s="1"/>
      <c r="I111" s="1"/>
    </row>
    <row r="112" spans="1:9" x14ac:dyDescent="0.3">
      <c r="A112" t="s">
        <v>142</v>
      </c>
      <c r="B112" t="s">
        <v>45</v>
      </c>
      <c r="C112" s="1">
        <v>1</v>
      </c>
      <c r="D112" s="1">
        <v>3990000</v>
      </c>
      <c r="E112" s="1">
        <v>0</v>
      </c>
      <c r="F112" s="1">
        <v>0</v>
      </c>
      <c r="G112" s="1">
        <v>3</v>
      </c>
      <c r="H112" s="1"/>
      <c r="I112" s="1"/>
    </row>
    <row r="113" spans="1:9" x14ac:dyDescent="0.3">
      <c r="A113" t="s">
        <v>93</v>
      </c>
      <c r="B113" t="s">
        <v>182</v>
      </c>
      <c r="C113" s="1">
        <v>4</v>
      </c>
      <c r="D113" s="1">
        <v>4450000</v>
      </c>
      <c r="E113" s="1"/>
      <c r="F113" s="1">
        <v>1</v>
      </c>
      <c r="G113" s="1">
        <v>4</v>
      </c>
      <c r="H113" s="1"/>
      <c r="I113" s="1"/>
    </row>
    <row r="114" spans="1:9" x14ac:dyDescent="0.3">
      <c r="A114" t="s">
        <v>10</v>
      </c>
      <c r="B114" t="s">
        <v>183</v>
      </c>
      <c r="C114" s="1">
        <v>2</v>
      </c>
      <c r="D114" s="1">
        <v>3000000</v>
      </c>
      <c r="E114" s="1"/>
      <c r="F114" s="1">
        <v>2</v>
      </c>
      <c r="G114" s="1">
        <v>3</v>
      </c>
      <c r="H114" s="1"/>
      <c r="I114" s="1"/>
    </row>
    <row r="115" spans="1:9" x14ac:dyDescent="0.3">
      <c r="A115" t="s">
        <v>10</v>
      </c>
      <c r="B115" t="s">
        <v>184</v>
      </c>
      <c r="C115" s="1">
        <v>52</v>
      </c>
      <c r="D115" s="1">
        <v>3100000</v>
      </c>
      <c r="E115" s="1"/>
      <c r="F115" s="1">
        <v>1</v>
      </c>
      <c r="G115" s="1">
        <v>3</v>
      </c>
      <c r="H115" s="1"/>
      <c r="I115" s="1"/>
    </row>
    <row r="116" spans="1:9" x14ac:dyDescent="0.3">
      <c r="A116" t="s">
        <v>10</v>
      </c>
      <c r="B116" t="s">
        <v>185</v>
      </c>
      <c r="C116" s="1">
        <v>12</v>
      </c>
      <c r="D116" s="1">
        <v>5400000</v>
      </c>
      <c r="E116" s="1"/>
      <c r="F116" s="1"/>
      <c r="G116" s="1">
        <v>2</v>
      </c>
      <c r="H116" s="1"/>
      <c r="I116" s="1"/>
    </row>
    <row r="117" spans="1:9" x14ac:dyDescent="0.3">
      <c r="A117" t="s">
        <v>10</v>
      </c>
      <c r="B117" t="s">
        <v>186</v>
      </c>
      <c r="C117" s="1"/>
      <c r="D117" s="1">
        <v>7500000</v>
      </c>
      <c r="E117" s="1"/>
      <c r="F117" s="1"/>
      <c r="G117" s="1">
        <v>2</v>
      </c>
      <c r="H117" s="1"/>
      <c r="I117" s="1"/>
    </row>
    <row r="118" spans="1:9" x14ac:dyDescent="0.3">
      <c r="A118" t="s">
        <v>10</v>
      </c>
      <c r="B118" t="s">
        <v>187</v>
      </c>
      <c r="C118" s="1">
        <v>20</v>
      </c>
      <c r="D118" s="1">
        <v>7500000</v>
      </c>
      <c r="E118" s="1"/>
      <c r="F118" s="1">
        <v>-1</v>
      </c>
      <c r="G118" s="1">
        <v>-1</v>
      </c>
      <c r="H118" s="1"/>
      <c r="I118" s="1"/>
    </row>
    <row r="119" spans="1:9" x14ac:dyDescent="0.3">
      <c r="A119" t="s">
        <v>10</v>
      </c>
      <c r="B119" t="s">
        <v>188</v>
      </c>
      <c r="C119" s="1">
        <v>5</v>
      </c>
      <c r="D119" s="1">
        <v>9650000</v>
      </c>
      <c r="E119" s="1"/>
      <c r="F119" s="1"/>
      <c r="G119" s="1">
        <v>2</v>
      </c>
      <c r="H119" s="1"/>
      <c r="I119" s="1"/>
    </row>
    <row r="120" spans="1:9" x14ac:dyDescent="0.3">
      <c r="A120" t="s">
        <v>10</v>
      </c>
      <c r="B120" t="s">
        <v>189</v>
      </c>
      <c r="C120" s="1">
        <v>6</v>
      </c>
      <c r="D120" s="1">
        <v>8750000</v>
      </c>
      <c r="E120" s="1"/>
      <c r="F120" s="1">
        <v>2</v>
      </c>
      <c r="G120" s="1">
        <v>3</v>
      </c>
      <c r="H120" s="1"/>
      <c r="I120" s="1"/>
    </row>
    <row r="121" spans="1:9" x14ac:dyDescent="0.3">
      <c r="A121" t="s">
        <v>10</v>
      </c>
      <c r="B121" t="s">
        <v>56</v>
      </c>
      <c r="C121" s="1">
        <v>11</v>
      </c>
      <c r="D121" s="1">
        <v>15700000</v>
      </c>
      <c r="E121" s="1"/>
      <c r="F121" s="1">
        <v>1</v>
      </c>
      <c r="G121" s="1">
        <v>3</v>
      </c>
      <c r="H121" s="1">
        <v>6</v>
      </c>
      <c r="I121" s="1">
        <v>6</v>
      </c>
    </row>
    <row r="122" spans="1:9" x14ac:dyDescent="0.3">
      <c r="A122" t="s">
        <v>10</v>
      </c>
      <c r="B122" t="s">
        <v>11</v>
      </c>
      <c r="C122" s="1">
        <v>8</v>
      </c>
      <c r="D122" s="1">
        <v>14250000</v>
      </c>
      <c r="E122" s="1"/>
      <c r="F122" s="1"/>
      <c r="G122" s="1">
        <v>1</v>
      </c>
      <c r="H122" s="1"/>
      <c r="I122" s="1"/>
    </row>
    <row r="123" spans="1:9" x14ac:dyDescent="0.3">
      <c r="A123" t="s">
        <v>10</v>
      </c>
      <c r="B123" t="s">
        <v>20</v>
      </c>
      <c r="C123" s="1">
        <v>1</v>
      </c>
      <c r="D123" s="1">
        <v>31000000</v>
      </c>
      <c r="E123" s="1"/>
      <c r="F123" s="1"/>
      <c r="G123" s="1">
        <v>1</v>
      </c>
      <c r="H123" s="1"/>
      <c r="I123" s="1"/>
    </row>
    <row r="124" spans="1:9" x14ac:dyDescent="0.3">
      <c r="A124" t="s">
        <v>125</v>
      </c>
      <c r="B124" t="s">
        <v>165</v>
      </c>
      <c r="C124" s="1"/>
      <c r="D124" s="1">
        <v>600000</v>
      </c>
      <c r="E124" s="1"/>
      <c r="F124" s="1"/>
      <c r="G124" s="1"/>
      <c r="H124" s="1"/>
      <c r="I124" s="1"/>
    </row>
    <row r="125" spans="1:9" x14ac:dyDescent="0.3">
      <c r="A125" t="s">
        <v>125</v>
      </c>
      <c r="B125" t="s">
        <v>190</v>
      </c>
      <c r="C125" s="1">
        <v>1</v>
      </c>
      <c r="D125" s="1">
        <v>2890000</v>
      </c>
      <c r="E125" s="1"/>
      <c r="F125" s="1">
        <v>1</v>
      </c>
      <c r="G125" s="1">
        <v>2</v>
      </c>
      <c r="H125" s="1"/>
      <c r="I125" s="1"/>
    </row>
    <row r="126" spans="1:9" x14ac:dyDescent="0.3">
      <c r="A126" t="s">
        <v>121</v>
      </c>
      <c r="B126" t="s">
        <v>102</v>
      </c>
      <c r="C126" s="1"/>
      <c r="D126" s="1">
        <v>16790000</v>
      </c>
      <c r="E126" s="1"/>
      <c r="F126" s="1"/>
      <c r="G126" s="1">
        <v>1</v>
      </c>
      <c r="H126" s="1"/>
      <c r="I126" s="1"/>
    </row>
    <row r="127" spans="1:9" x14ac:dyDescent="0.3">
      <c r="A127" t="s">
        <v>175</v>
      </c>
      <c r="B127" t="s">
        <v>39</v>
      </c>
      <c r="C127" s="1">
        <v>1</v>
      </c>
      <c r="D127" s="1">
        <v>2450000</v>
      </c>
      <c r="E127" s="1">
        <v>1</v>
      </c>
      <c r="F127" s="1">
        <v>1</v>
      </c>
      <c r="G127" s="1">
        <v>2</v>
      </c>
      <c r="H127" s="1"/>
      <c r="I127" s="1"/>
    </row>
    <row r="128" spans="1:9" x14ac:dyDescent="0.3">
      <c r="A128" t="s">
        <v>96</v>
      </c>
      <c r="B128" t="s">
        <v>14</v>
      </c>
      <c r="C128" s="1">
        <v>5</v>
      </c>
      <c r="D128" s="1">
        <v>2700000</v>
      </c>
      <c r="E128" s="1"/>
      <c r="F128" s="1">
        <v>1</v>
      </c>
      <c r="G128" s="1">
        <v>3</v>
      </c>
      <c r="H128" s="1"/>
      <c r="I128" s="1"/>
    </row>
    <row r="129" spans="1:9" x14ac:dyDescent="0.3">
      <c r="A129" t="s">
        <v>96</v>
      </c>
      <c r="B129" t="s">
        <v>16</v>
      </c>
      <c r="C129" s="1">
        <v>1</v>
      </c>
      <c r="D129" s="1">
        <v>4990000</v>
      </c>
      <c r="E129" s="1"/>
      <c r="F129" s="1"/>
      <c r="G129" s="1">
        <v>1</v>
      </c>
      <c r="H129" s="1"/>
      <c r="I129" s="1"/>
    </row>
    <row r="130" spans="1:9" x14ac:dyDescent="0.3">
      <c r="A130" t="s">
        <v>96</v>
      </c>
      <c r="B130" t="s">
        <v>191</v>
      </c>
      <c r="C130" s="1">
        <v>1</v>
      </c>
      <c r="D130" s="1">
        <v>3500000</v>
      </c>
      <c r="E130" s="1"/>
      <c r="F130" s="1">
        <v>1</v>
      </c>
      <c r="G130" s="1">
        <v>2</v>
      </c>
      <c r="H130" s="1"/>
      <c r="I130" s="1">
        <v>1</v>
      </c>
    </row>
    <row r="131" spans="1:9" x14ac:dyDescent="0.3">
      <c r="A131" t="s">
        <v>96</v>
      </c>
      <c r="B131" t="s">
        <v>192</v>
      </c>
      <c r="C131" s="1">
        <v>3</v>
      </c>
      <c r="D131" s="1">
        <v>5400000</v>
      </c>
      <c r="E131" s="1"/>
      <c r="F131" s="1">
        <v>0</v>
      </c>
      <c r="G131" s="1">
        <v>2</v>
      </c>
      <c r="H131" s="1"/>
      <c r="I131" s="1"/>
    </row>
    <row r="132" spans="1:9" x14ac:dyDescent="0.3">
      <c r="A132" t="s">
        <v>96</v>
      </c>
      <c r="B132" t="s">
        <v>18</v>
      </c>
      <c r="C132" s="1"/>
      <c r="D132" s="1">
        <v>4290000</v>
      </c>
      <c r="E132" s="1">
        <v>1</v>
      </c>
      <c r="F132" s="1">
        <v>1</v>
      </c>
      <c r="G132" s="1">
        <v>2</v>
      </c>
      <c r="H132" s="1"/>
      <c r="I132" s="1"/>
    </row>
    <row r="133" spans="1:9" x14ac:dyDescent="0.3">
      <c r="A133" t="s">
        <v>96</v>
      </c>
      <c r="B133" t="s">
        <v>193</v>
      </c>
      <c r="C133" s="1">
        <v>4</v>
      </c>
      <c r="D133" s="1">
        <v>14000000</v>
      </c>
      <c r="E133" s="1"/>
      <c r="F133" s="1">
        <v>1</v>
      </c>
      <c r="G133" s="1">
        <v>4</v>
      </c>
      <c r="H133" s="1">
        <v>1</v>
      </c>
      <c r="I133" s="1">
        <v>1</v>
      </c>
    </row>
    <row r="134" spans="1:9" x14ac:dyDescent="0.3">
      <c r="A134" t="s">
        <v>96</v>
      </c>
      <c r="B134" t="s">
        <v>194</v>
      </c>
      <c r="C134" s="1">
        <v>1</v>
      </c>
      <c r="D134" s="1">
        <v>4000000</v>
      </c>
      <c r="E134" s="1">
        <v>1</v>
      </c>
      <c r="F134" s="1">
        <v>1</v>
      </c>
      <c r="G134" s="1">
        <v>1</v>
      </c>
      <c r="H134" s="1"/>
      <c r="I134" s="1"/>
    </row>
    <row r="135" spans="1:9" x14ac:dyDescent="0.3">
      <c r="A135" t="s">
        <v>98</v>
      </c>
      <c r="B135" t="s">
        <v>6</v>
      </c>
      <c r="C135" s="1">
        <v>3</v>
      </c>
      <c r="D135" s="1">
        <v>2390000</v>
      </c>
      <c r="E135" s="1"/>
      <c r="F135" s="1"/>
      <c r="G135" s="1">
        <v>2</v>
      </c>
      <c r="H135" s="1"/>
      <c r="I135" s="1"/>
    </row>
    <row r="136" spans="1:9" x14ac:dyDescent="0.3">
      <c r="A136" t="s">
        <v>98</v>
      </c>
      <c r="B136" t="s">
        <v>23</v>
      </c>
      <c r="C136" s="1">
        <v>2</v>
      </c>
      <c r="D136" s="1">
        <v>1090000</v>
      </c>
      <c r="E136" s="1"/>
      <c r="F136" s="1"/>
      <c r="G136" s="1">
        <v>2</v>
      </c>
      <c r="H136" s="1"/>
      <c r="I136" s="1"/>
    </row>
    <row r="137" spans="1:9" x14ac:dyDescent="0.3">
      <c r="A137" t="s">
        <v>142</v>
      </c>
      <c r="B137" t="s">
        <v>195</v>
      </c>
      <c r="C137" s="1">
        <v>1</v>
      </c>
      <c r="D137" s="1">
        <v>7790000</v>
      </c>
      <c r="E137" s="1"/>
      <c r="F137" s="1">
        <v>1</v>
      </c>
      <c r="G137" s="1">
        <v>3</v>
      </c>
      <c r="H137" s="1"/>
      <c r="I137" s="1"/>
    </row>
    <row r="138" spans="1:9" x14ac:dyDescent="0.3">
      <c r="A138" t="s">
        <v>156</v>
      </c>
      <c r="B138" t="s">
        <v>43</v>
      </c>
      <c r="C138" s="1">
        <v>1</v>
      </c>
      <c r="D138" s="1">
        <v>4500000</v>
      </c>
      <c r="E138" s="1"/>
      <c r="F138" s="1">
        <v>1</v>
      </c>
      <c r="G138" s="1">
        <v>2</v>
      </c>
      <c r="H138" s="1"/>
      <c r="I138" s="1"/>
    </row>
    <row r="139" spans="1:9" x14ac:dyDescent="0.3">
      <c r="A139" t="s">
        <v>201</v>
      </c>
      <c r="B139" t="s">
        <v>202</v>
      </c>
      <c r="C139" s="1">
        <v>3</v>
      </c>
      <c r="D139" s="1">
        <v>3190000</v>
      </c>
      <c r="E139" s="1">
        <v>1</v>
      </c>
      <c r="F139" s="1">
        <v>1</v>
      </c>
      <c r="G139" s="1">
        <v>2</v>
      </c>
      <c r="H139" s="1"/>
      <c r="I139" s="1"/>
    </row>
    <row r="140" spans="1:9" x14ac:dyDescent="0.3">
      <c r="A140" t="s">
        <v>143</v>
      </c>
      <c r="B140" t="s">
        <v>123</v>
      </c>
      <c r="C140" s="1">
        <v>1</v>
      </c>
      <c r="D140" s="1">
        <v>12090000</v>
      </c>
      <c r="E140" s="1"/>
      <c r="F140" s="1"/>
      <c r="G140" s="1"/>
      <c r="H140" s="1"/>
      <c r="I140" s="1"/>
    </row>
    <row r="141" spans="1:9" x14ac:dyDescent="0.3">
      <c r="A141" t="s">
        <v>143</v>
      </c>
      <c r="B141" t="s">
        <v>203</v>
      </c>
      <c r="C141" s="1">
        <v>3</v>
      </c>
      <c r="D141" s="1">
        <v>18990000</v>
      </c>
      <c r="E141" s="1"/>
      <c r="F141" s="1"/>
      <c r="G141" s="1"/>
      <c r="H141" s="1"/>
      <c r="I141" s="1"/>
    </row>
    <row r="142" spans="1:9" x14ac:dyDescent="0.3">
      <c r="A142" t="s">
        <v>93</v>
      </c>
      <c r="B142" t="s">
        <v>204</v>
      </c>
      <c r="C142" s="1">
        <v>12</v>
      </c>
      <c r="D142" s="1">
        <v>9000000</v>
      </c>
      <c r="E142" s="1"/>
      <c r="F142" s="1">
        <v>1</v>
      </c>
      <c r="G142" s="1">
        <v>3</v>
      </c>
      <c r="H142" s="1"/>
      <c r="I142" s="1"/>
    </row>
    <row r="143" spans="1:9" x14ac:dyDescent="0.3">
      <c r="A143" t="s">
        <v>93</v>
      </c>
      <c r="B143" t="s">
        <v>3</v>
      </c>
      <c r="C143" s="1">
        <v>20</v>
      </c>
      <c r="D143" s="1">
        <v>7000000</v>
      </c>
      <c r="E143" s="1">
        <v>1</v>
      </c>
      <c r="F143" s="1">
        <v>1</v>
      </c>
      <c r="G143" s="1">
        <v>2</v>
      </c>
      <c r="H143" s="1"/>
      <c r="I143" s="1"/>
    </row>
    <row r="144" spans="1:9" x14ac:dyDescent="0.3">
      <c r="A144" t="s">
        <v>93</v>
      </c>
      <c r="B144" t="s">
        <v>205</v>
      </c>
      <c r="C144" s="1">
        <v>6</v>
      </c>
      <c r="D144" s="1">
        <v>6600000</v>
      </c>
      <c r="E144" s="1"/>
      <c r="F144" s="1"/>
      <c r="G144" s="1">
        <v>2</v>
      </c>
      <c r="H144" s="1"/>
      <c r="I144" s="1"/>
    </row>
    <row r="145" spans="1:9" x14ac:dyDescent="0.3">
      <c r="A145" t="s">
        <v>93</v>
      </c>
      <c r="B145" t="s">
        <v>206</v>
      </c>
      <c r="C145" s="1"/>
      <c r="D145" s="1">
        <v>9900000</v>
      </c>
      <c r="E145" s="1"/>
      <c r="F145" s="1"/>
      <c r="G145" s="1">
        <v>1</v>
      </c>
      <c r="H145" s="1"/>
      <c r="I145" s="1"/>
    </row>
    <row r="146" spans="1:9" x14ac:dyDescent="0.3">
      <c r="A146" t="s">
        <v>93</v>
      </c>
      <c r="B146" t="s">
        <v>127</v>
      </c>
      <c r="C146" s="1"/>
      <c r="D146" s="1">
        <v>21000000</v>
      </c>
      <c r="E146" s="1"/>
      <c r="F146" s="1"/>
      <c r="G146" s="1"/>
      <c r="H146" s="1"/>
      <c r="I146" s="1"/>
    </row>
    <row r="147" spans="1:9" x14ac:dyDescent="0.3">
      <c r="A147" t="s">
        <v>10</v>
      </c>
      <c r="B147" t="s">
        <v>207</v>
      </c>
      <c r="C147" s="1">
        <v>4</v>
      </c>
      <c r="D147" s="1">
        <v>3500000</v>
      </c>
      <c r="E147" s="1"/>
      <c r="F147" s="1">
        <v>1</v>
      </c>
      <c r="G147" s="1">
        <v>2</v>
      </c>
      <c r="H147" s="1"/>
      <c r="I147" s="1"/>
    </row>
    <row r="148" spans="1:9" x14ac:dyDescent="0.3">
      <c r="A148" t="s">
        <v>10</v>
      </c>
      <c r="B148" t="s">
        <v>208</v>
      </c>
      <c r="C148" s="1">
        <v>5</v>
      </c>
      <c r="D148" s="1">
        <v>3500000</v>
      </c>
      <c r="E148" s="1"/>
      <c r="F148" s="1"/>
      <c r="G148" s="1">
        <v>3</v>
      </c>
      <c r="H148" s="1"/>
      <c r="I148" s="1"/>
    </row>
    <row r="149" spans="1:9" x14ac:dyDescent="0.3">
      <c r="A149" t="s">
        <v>10</v>
      </c>
      <c r="B149" t="s">
        <v>209</v>
      </c>
      <c r="C149" s="1">
        <v>2</v>
      </c>
      <c r="D149" s="1">
        <v>3500000</v>
      </c>
      <c r="E149" s="1"/>
      <c r="F149" s="1"/>
      <c r="G149" s="1">
        <v>1</v>
      </c>
      <c r="H149" s="1"/>
      <c r="I149" s="1"/>
    </row>
    <row r="150" spans="1:9" x14ac:dyDescent="0.3">
      <c r="A150" t="s">
        <v>10</v>
      </c>
      <c r="B150" t="s">
        <v>210</v>
      </c>
      <c r="C150" s="1">
        <v>10</v>
      </c>
      <c r="D150" s="1">
        <v>4800000</v>
      </c>
      <c r="E150" s="1"/>
      <c r="F150" s="1">
        <v>1</v>
      </c>
      <c r="G150" s="1">
        <v>2</v>
      </c>
      <c r="H150" s="1"/>
      <c r="I150" s="1"/>
    </row>
    <row r="151" spans="1:9" x14ac:dyDescent="0.3">
      <c r="A151" t="s">
        <v>10</v>
      </c>
      <c r="B151" t="s">
        <v>211</v>
      </c>
      <c r="C151" s="1">
        <v>4</v>
      </c>
      <c r="D151" s="1">
        <v>5400000</v>
      </c>
      <c r="E151" s="1"/>
      <c r="F151" s="1"/>
      <c r="G151" s="1">
        <v>1</v>
      </c>
      <c r="H151" s="1"/>
      <c r="I151" s="1"/>
    </row>
    <row r="152" spans="1:9" x14ac:dyDescent="0.3">
      <c r="A152" t="s">
        <v>10</v>
      </c>
      <c r="B152" t="s">
        <v>212</v>
      </c>
      <c r="C152" s="1">
        <v>6</v>
      </c>
      <c r="D152" s="1">
        <v>6200000</v>
      </c>
      <c r="E152" s="1">
        <v>1</v>
      </c>
      <c r="F152" s="1">
        <v>1</v>
      </c>
      <c r="G152" s="1">
        <v>1</v>
      </c>
      <c r="H152" s="1"/>
      <c r="I152" s="1"/>
    </row>
    <row r="153" spans="1:9" x14ac:dyDescent="0.3">
      <c r="A153" t="s">
        <v>10</v>
      </c>
      <c r="B153" t="s">
        <v>213</v>
      </c>
      <c r="C153" s="1">
        <v>3</v>
      </c>
      <c r="D153" s="1">
        <v>11600000</v>
      </c>
      <c r="E153" s="1"/>
      <c r="F153" s="1"/>
      <c r="G153" s="1">
        <v>1</v>
      </c>
      <c r="H153" s="1"/>
      <c r="I153" s="1"/>
    </row>
    <row r="154" spans="1:9" x14ac:dyDescent="0.3">
      <c r="A154" t="s">
        <v>10</v>
      </c>
      <c r="B154" t="s">
        <v>214</v>
      </c>
      <c r="C154" s="1">
        <v>5</v>
      </c>
      <c r="D154" s="1">
        <v>10100000</v>
      </c>
      <c r="E154" s="1">
        <v>1</v>
      </c>
      <c r="F154" s="1">
        <v>2</v>
      </c>
      <c r="G154" s="1">
        <v>2</v>
      </c>
      <c r="H154" s="1"/>
      <c r="I154" s="1"/>
    </row>
    <row r="155" spans="1:9" x14ac:dyDescent="0.3">
      <c r="A155" t="s">
        <v>215</v>
      </c>
      <c r="B155" t="s">
        <v>216</v>
      </c>
      <c r="C155" s="1"/>
      <c r="D155" s="1">
        <v>1200000</v>
      </c>
      <c r="E155" s="1"/>
      <c r="F155" s="1"/>
      <c r="G155" s="1"/>
      <c r="H155" s="1"/>
      <c r="I155" s="1"/>
    </row>
    <row r="156" spans="1:9" x14ac:dyDescent="0.3">
      <c r="A156" t="s">
        <v>125</v>
      </c>
      <c r="B156" t="s">
        <v>217</v>
      </c>
      <c r="C156" s="1">
        <v>1</v>
      </c>
      <c r="D156" s="1">
        <v>1690000</v>
      </c>
      <c r="E156" s="1">
        <v>1</v>
      </c>
      <c r="F156" s="1">
        <v>1</v>
      </c>
      <c r="G156" s="1">
        <v>2</v>
      </c>
      <c r="H156" s="1"/>
      <c r="I156" s="1"/>
    </row>
    <row r="157" spans="1:9" x14ac:dyDescent="0.3">
      <c r="A157" t="s">
        <v>125</v>
      </c>
      <c r="B157" t="s">
        <v>218</v>
      </c>
      <c r="C157" s="1"/>
      <c r="D157" s="1">
        <v>3000000</v>
      </c>
      <c r="E157" s="1"/>
      <c r="F157" s="1">
        <v>2</v>
      </c>
      <c r="G157" s="1">
        <v>2</v>
      </c>
      <c r="H157" s="1"/>
      <c r="I157" s="1"/>
    </row>
    <row r="158" spans="1:9" x14ac:dyDescent="0.3">
      <c r="A158" t="s">
        <v>121</v>
      </c>
      <c r="B158" t="s">
        <v>63</v>
      </c>
      <c r="C158" s="1"/>
      <c r="D158" s="1">
        <v>2990000</v>
      </c>
      <c r="E158" s="1"/>
      <c r="F158" s="1"/>
      <c r="G158" s="1"/>
      <c r="H158" s="1"/>
      <c r="I158" s="1"/>
    </row>
    <row r="159" spans="1:9" x14ac:dyDescent="0.3">
      <c r="A159" t="s">
        <v>121</v>
      </c>
      <c r="B159" t="s">
        <v>136</v>
      </c>
      <c r="C159" s="1">
        <v>3</v>
      </c>
      <c r="D159" s="1">
        <v>3990000</v>
      </c>
      <c r="E159" s="1"/>
      <c r="F159" s="1">
        <v>1</v>
      </c>
      <c r="G159" s="1">
        <v>2</v>
      </c>
      <c r="H159" s="1"/>
      <c r="I159" s="1"/>
    </row>
    <row r="160" spans="1:9" x14ac:dyDescent="0.3">
      <c r="A160" t="s">
        <v>96</v>
      </c>
      <c r="B160" t="s">
        <v>219</v>
      </c>
      <c r="C160" s="1">
        <v>2</v>
      </c>
      <c r="D160" s="1">
        <v>10500000</v>
      </c>
      <c r="E160" s="1"/>
      <c r="F160" s="1"/>
      <c r="G160" s="1">
        <v>1</v>
      </c>
      <c r="H160" s="1"/>
      <c r="I160" s="1">
        <v>1</v>
      </c>
    </row>
    <row r="161" spans="1:9" x14ac:dyDescent="0.3">
      <c r="A161" t="s">
        <v>96</v>
      </c>
      <c r="B161" t="s">
        <v>220</v>
      </c>
      <c r="C161" s="1">
        <v>4</v>
      </c>
      <c r="D161" s="1">
        <v>16500000</v>
      </c>
      <c r="E161" s="1">
        <v>1</v>
      </c>
      <c r="F161" s="1">
        <v>3</v>
      </c>
      <c r="G161" s="1">
        <v>3</v>
      </c>
      <c r="H161" s="1"/>
      <c r="I161" s="1"/>
    </row>
    <row r="162" spans="1:9" x14ac:dyDescent="0.3">
      <c r="A162" t="s">
        <v>96</v>
      </c>
      <c r="B162" t="s">
        <v>221</v>
      </c>
      <c r="C162" s="1">
        <v>4</v>
      </c>
      <c r="D162" s="1">
        <v>15500000</v>
      </c>
      <c r="E162" s="1"/>
      <c r="F162" s="1"/>
      <c r="G162" s="1">
        <v>1</v>
      </c>
      <c r="H162" s="1"/>
      <c r="I162" s="1"/>
    </row>
    <row r="163" spans="1:9" x14ac:dyDescent="0.3">
      <c r="A163" t="s">
        <v>142</v>
      </c>
      <c r="B163" t="s">
        <v>222</v>
      </c>
      <c r="C163" s="1"/>
      <c r="D163" s="1">
        <v>9750000</v>
      </c>
      <c r="E163" s="1"/>
      <c r="F163" s="1">
        <v>1</v>
      </c>
      <c r="G163" s="1">
        <v>2</v>
      </c>
      <c r="H163" s="1"/>
      <c r="I163" s="1"/>
    </row>
    <row r="164" spans="1:9" x14ac:dyDescent="0.3">
      <c r="A164" t="s">
        <v>142</v>
      </c>
      <c r="B164" t="s">
        <v>223</v>
      </c>
      <c r="C164" s="1">
        <v>1</v>
      </c>
      <c r="D164" s="1">
        <v>2790000</v>
      </c>
      <c r="E164" s="1"/>
      <c r="F164" s="1">
        <v>1</v>
      </c>
      <c r="G164" s="1">
        <v>3</v>
      </c>
      <c r="H164" s="1"/>
      <c r="I164" s="1"/>
    </row>
    <row r="165" spans="1:9" x14ac:dyDescent="0.3">
      <c r="A165" t="s">
        <v>142</v>
      </c>
      <c r="B165" t="s">
        <v>104</v>
      </c>
      <c r="C165" s="1">
        <v>1</v>
      </c>
      <c r="D165" s="1">
        <v>4390000</v>
      </c>
      <c r="E165" s="1">
        <v>1</v>
      </c>
      <c r="F165" s="1">
        <v>1</v>
      </c>
      <c r="G165" s="1">
        <v>1</v>
      </c>
      <c r="H165" s="1"/>
      <c r="I165" s="1"/>
    </row>
    <row r="166" spans="1:9" x14ac:dyDescent="0.3">
      <c r="A166" t="s">
        <v>156</v>
      </c>
      <c r="B166" t="s">
        <v>228</v>
      </c>
      <c r="C166" s="1"/>
      <c r="D166" s="1">
        <v>5200000</v>
      </c>
      <c r="E166" s="1"/>
      <c r="F166" s="1"/>
      <c r="G166" s="1"/>
      <c r="H166" s="1"/>
      <c r="I166" s="1"/>
    </row>
    <row r="167" spans="1:9" x14ac:dyDescent="0.3">
      <c r="A167" t="s">
        <v>156</v>
      </c>
      <c r="B167" t="s">
        <v>41</v>
      </c>
      <c r="C167" s="1">
        <v>9</v>
      </c>
      <c r="D167" s="1">
        <v>9200000</v>
      </c>
      <c r="E167" s="1"/>
      <c r="F167" s="1"/>
      <c r="G167" s="1"/>
      <c r="H167" s="1"/>
      <c r="I167" s="1">
        <v>8</v>
      </c>
    </row>
    <row r="168" spans="1:9" x14ac:dyDescent="0.3">
      <c r="A168" t="s">
        <v>156</v>
      </c>
      <c r="B168" t="s">
        <v>50</v>
      </c>
      <c r="C168" s="1">
        <v>4</v>
      </c>
      <c r="D168" s="1">
        <v>10500000</v>
      </c>
      <c r="E168" s="1"/>
      <c r="F168" s="1"/>
      <c r="G168" s="1">
        <v>1</v>
      </c>
      <c r="H168" s="1"/>
      <c r="I168" s="1"/>
    </row>
    <row r="169" spans="1:9" x14ac:dyDescent="0.3">
      <c r="A169" t="s">
        <v>156</v>
      </c>
      <c r="B169" t="s">
        <v>229</v>
      </c>
      <c r="C169" s="1">
        <v>1</v>
      </c>
      <c r="D169" s="1">
        <v>9100000</v>
      </c>
      <c r="E169" s="1"/>
      <c r="F169" s="1">
        <v>1</v>
      </c>
      <c r="G169" s="1">
        <v>1</v>
      </c>
      <c r="H169" s="1"/>
      <c r="I169" s="1"/>
    </row>
    <row r="170" spans="1:9" x14ac:dyDescent="0.3">
      <c r="A170" t="s">
        <v>201</v>
      </c>
      <c r="B170" t="s">
        <v>230</v>
      </c>
      <c r="C170" s="1">
        <v>2</v>
      </c>
      <c r="D170" s="1">
        <v>14800000</v>
      </c>
      <c r="E170" s="1"/>
      <c r="F170" s="1"/>
      <c r="G170" s="1">
        <v>1</v>
      </c>
      <c r="H170" s="1"/>
      <c r="I170" s="1"/>
    </row>
    <row r="171" spans="1:9" x14ac:dyDescent="0.3">
      <c r="A171" t="s">
        <v>93</v>
      </c>
      <c r="B171" t="s">
        <v>28</v>
      </c>
      <c r="C171" s="1"/>
      <c r="D171" s="1">
        <v>9200000</v>
      </c>
      <c r="E171" s="1">
        <v>1</v>
      </c>
      <c r="F171" s="1">
        <v>1</v>
      </c>
      <c r="G171" s="1">
        <v>1</v>
      </c>
      <c r="H171" s="1"/>
      <c r="I171" s="1"/>
    </row>
    <row r="172" spans="1:9" x14ac:dyDescent="0.3">
      <c r="A172" t="s">
        <v>93</v>
      </c>
      <c r="B172" t="s">
        <v>231</v>
      </c>
      <c r="C172" s="1">
        <v>16</v>
      </c>
      <c r="D172" s="1">
        <v>6600000</v>
      </c>
      <c r="E172" s="1"/>
      <c r="F172" s="1">
        <v>1</v>
      </c>
      <c r="G172" s="1">
        <v>2</v>
      </c>
      <c r="H172" s="1"/>
      <c r="I172" s="1">
        <v>10</v>
      </c>
    </row>
    <row r="173" spans="1:9" x14ac:dyDescent="0.3">
      <c r="A173" t="s">
        <v>93</v>
      </c>
      <c r="B173" t="s">
        <v>232</v>
      </c>
      <c r="C173" s="1">
        <v>1</v>
      </c>
      <c r="D173" s="1">
        <v>6500000</v>
      </c>
      <c r="E173" s="1"/>
      <c r="F173" s="1"/>
      <c r="G173" s="1"/>
      <c r="H173" s="1"/>
      <c r="I173" s="1"/>
    </row>
    <row r="174" spans="1:9" x14ac:dyDescent="0.3">
      <c r="A174" t="s">
        <v>93</v>
      </c>
      <c r="B174" t="s">
        <v>233</v>
      </c>
      <c r="C174" s="1">
        <v>3</v>
      </c>
      <c r="D174" s="1">
        <v>6500000</v>
      </c>
      <c r="E174" s="1"/>
      <c r="F174" s="1">
        <v>1</v>
      </c>
      <c r="G174" s="1">
        <v>1</v>
      </c>
      <c r="H174" s="1"/>
      <c r="I174" s="1"/>
    </row>
    <row r="175" spans="1:9" x14ac:dyDescent="0.3">
      <c r="A175" t="s">
        <v>93</v>
      </c>
      <c r="B175" t="s">
        <v>234</v>
      </c>
      <c r="C175" s="1"/>
      <c r="D175" s="1">
        <v>7950000</v>
      </c>
      <c r="E175" s="1"/>
      <c r="F175" s="1"/>
      <c r="G175" s="1">
        <v>1</v>
      </c>
      <c r="H175" s="1"/>
      <c r="I175" s="1"/>
    </row>
    <row r="176" spans="1:9" x14ac:dyDescent="0.3">
      <c r="A176" t="s">
        <v>10</v>
      </c>
      <c r="B176" t="s">
        <v>42</v>
      </c>
      <c r="C176" s="1">
        <v>4</v>
      </c>
      <c r="D176" s="1">
        <v>11590000</v>
      </c>
      <c r="E176" s="1"/>
      <c r="F176" s="1"/>
      <c r="G176" s="1">
        <v>2</v>
      </c>
      <c r="H176" s="1"/>
      <c r="I176" s="1"/>
    </row>
    <row r="177" spans="1:9" x14ac:dyDescent="0.3">
      <c r="A177" t="s">
        <v>10</v>
      </c>
      <c r="B177" t="s">
        <v>235</v>
      </c>
      <c r="C177" s="1">
        <v>1</v>
      </c>
      <c r="D177" s="1">
        <v>4700000</v>
      </c>
      <c r="E177" s="1">
        <v>1</v>
      </c>
      <c r="F177" s="1">
        <v>1</v>
      </c>
      <c r="G177" s="1">
        <v>1</v>
      </c>
      <c r="H177" s="1"/>
      <c r="I177" s="1"/>
    </row>
    <row r="178" spans="1:9" x14ac:dyDescent="0.3">
      <c r="A178" t="s">
        <v>10</v>
      </c>
      <c r="B178" t="s">
        <v>236</v>
      </c>
      <c r="C178" s="1">
        <v>7</v>
      </c>
      <c r="D178" s="1">
        <v>5400000</v>
      </c>
      <c r="E178" s="1"/>
      <c r="F178" s="1"/>
      <c r="G178" s="1"/>
      <c r="H178" s="1"/>
      <c r="I178" s="1"/>
    </row>
    <row r="179" spans="1:9" x14ac:dyDescent="0.3">
      <c r="A179" t="s">
        <v>10</v>
      </c>
      <c r="B179" t="s">
        <v>237</v>
      </c>
      <c r="C179" s="1">
        <v>11</v>
      </c>
      <c r="D179" s="1">
        <v>5400000</v>
      </c>
      <c r="E179" s="1">
        <v>2</v>
      </c>
      <c r="F179" s="1">
        <v>3</v>
      </c>
      <c r="G179" s="1">
        <v>3</v>
      </c>
      <c r="H179" s="1"/>
      <c r="I179" s="1"/>
    </row>
    <row r="180" spans="1:9" x14ac:dyDescent="0.3">
      <c r="A180" t="s">
        <v>10</v>
      </c>
      <c r="B180" t="s">
        <v>238</v>
      </c>
      <c r="C180" s="1">
        <v>2</v>
      </c>
      <c r="D180" s="1">
        <v>5100000</v>
      </c>
      <c r="E180" s="1"/>
      <c r="F180" s="1"/>
      <c r="G180" s="1"/>
      <c r="H180" s="1"/>
      <c r="I180" s="1"/>
    </row>
    <row r="181" spans="1:9" x14ac:dyDescent="0.3">
      <c r="A181" t="s">
        <v>10</v>
      </c>
      <c r="B181" t="s">
        <v>239</v>
      </c>
      <c r="C181" s="1">
        <v>2</v>
      </c>
      <c r="D181" s="1">
        <v>3800000</v>
      </c>
      <c r="E181" s="1"/>
      <c r="F181" s="1"/>
      <c r="G181" s="1">
        <v>2</v>
      </c>
      <c r="H181" s="1"/>
      <c r="I181" s="1"/>
    </row>
    <row r="182" spans="1:9" x14ac:dyDescent="0.3">
      <c r="A182" t="s">
        <v>10</v>
      </c>
      <c r="B182" t="s">
        <v>240</v>
      </c>
      <c r="C182" s="1">
        <v>1</v>
      </c>
      <c r="D182" s="1">
        <v>7600000</v>
      </c>
      <c r="E182" s="1"/>
      <c r="F182" s="1">
        <v>2</v>
      </c>
      <c r="G182" s="1">
        <v>2</v>
      </c>
      <c r="H182" s="1"/>
      <c r="I182" s="1">
        <v>1</v>
      </c>
    </row>
    <row r="183" spans="1:9" x14ac:dyDescent="0.3">
      <c r="A183" t="s">
        <v>10</v>
      </c>
      <c r="B183" t="s">
        <v>241</v>
      </c>
      <c r="C183" s="1">
        <v>1</v>
      </c>
      <c r="D183" s="1">
        <v>7100000</v>
      </c>
      <c r="E183" s="1"/>
      <c r="F183" s="1">
        <v>1</v>
      </c>
      <c r="G183" s="1">
        <v>1</v>
      </c>
      <c r="H183" s="1"/>
      <c r="I183" s="1"/>
    </row>
    <row r="184" spans="1:9" x14ac:dyDescent="0.3">
      <c r="A184" t="s">
        <v>10</v>
      </c>
      <c r="B184" t="s">
        <v>242</v>
      </c>
      <c r="C184" s="1"/>
      <c r="D184" s="1">
        <v>7600000</v>
      </c>
      <c r="E184" s="1">
        <v>-1</v>
      </c>
      <c r="F184" s="1">
        <v>-1</v>
      </c>
      <c r="G184" s="1">
        <v>0</v>
      </c>
      <c r="H184" s="1"/>
      <c r="I184" s="1"/>
    </row>
    <row r="185" spans="1:9" x14ac:dyDescent="0.3">
      <c r="A185" t="s">
        <v>10</v>
      </c>
      <c r="B185" t="s">
        <v>243</v>
      </c>
      <c r="C185" s="1"/>
      <c r="D185" s="1">
        <v>7800000</v>
      </c>
      <c r="E185" s="1"/>
      <c r="F185" s="1"/>
      <c r="G185" s="1">
        <v>2</v>
      </c>
      <c r="H185" s="1"/>
      <c r="I185" s="1"/>
    </row>
    <row r="186" spans="1:9" x14ac:dyDescent="0.3">
      <c r="A186" t="s">
        <v>10</v>
      </c>
      <c r="B186" t="s">
        <v>244</v>
      </c>
      <c r="C186" s="1">
        <v>1</v>
      </c>
      <c r="D186" s="1">
        <v>7500000</v>
      </c>
      <c r="E186" s="1"/>
      <c r="F186" s="1"/>
      <c r="G186" s="1"/>
      <c r="H186" s="1"/>
      <c r="I186" s="1"/>
    </row>
    <row r="187" spans="1:9" x14ac:dyDescent="0.3">
      <c r="A187" t="s">
        <v>10</v>
      </c>
      <c r="B187" t="s">
        <v>245</v>
      </c>
      <c r="C187" s="1"/>
      <c r="D187" s="1">
        <v>6200000</v>
      </c>
      <c r="E187" s="1"/>
      <c r="F187" s="1"/>
      <c r="G187" s="1"/>
      <c r="H187" s="1"/>
      <c r="I187" s="1"/>
    </row>
    <row r="188" spans="1:9" x14ac:dyDescent="0.3">
      <c r="A188" t="s">
        <v>10</v>
      </c>
      <c r="B188" t="s">
        <v>246</v>
      </c>
      <c r="C188" s="1">
        <v>18</v>
      </c>
      <c r="D188" s="1">
        <v>7500000</v>
      </c>
      <c r="E188" s="1"/>
      <c r="F188" s="1">
        <v>1</v>
      </c>
      <c r="G188" s="1">
        <v>2</v>
      </c>
      <c r="H188" s="1"/>
      <c r="I188" s="1"/>
    </row>
    <row r="189" spans="1:9" x14ac:dyDescent="0.3">
      <c r="A189" t="s">
        <v>10</v>
      </c>
      <c r="B189" t="s">
        <v>247</v>
      </c>
      <c r="C189" s="1">
        <v>6</v>
      </c>
      <c r="D189" s="1">
        <v>10700000</v>
      </c>
      <c r="E189" s="1"/>
      <c r="F189" s="1"/>
      <c r="G189" s="1">
        <v>0</v>
      </c>
      <c r="H189" s="1">
        <v>6</v>
      </c>
      <c r="I189" s="1">
        <v>6</v>
      </c>
    </row>
    <row r="190" spans="1:9" x14ac:dyDescent="0.3">
      <c r="A190" t="s">
        <v>10</v>
      </c>
      <c r="B190" t="s">
        <v>248</v>
      </c>
      <c r="C190" s="1">
        <v>15</v>
      </c>
      <c r="D190" s="1">
        <v>10900000</v>
      </c>
      <c r="E190" s="1"/>
      <c r="F190" s="1">
        <v>1</v>
      </c>
      <c r="G190" s="1">
        <v>1</v>
      </c>
      <c r="H190" s="1">
        <v>7</v>
      </c>
      <c r="I190" s="1">
        <v>7</v>
      </c>
    </row>
    <row r="191" spans="1:9" x14ac:dyDescent="0.3">
      <c r="A191" t="s">
        <v>10</v>
      </c>
      <c r="B191" t="s">
        <v>188</v>
      </c>
      <c r="C191" s="1">
        <v>1</v>
      </c>
      <c r="D191" s="1">
        <v>8150000</v>
      </c>
      <c r="E191" s="1">
        <v>1</v>
      </c>
      <c r="F191" s="1">
        <v>1</v>
      </c>
      <c r="G191" s="1">
        <v>1</v>
      </c>
      <c r="H191" s="1"/>
      <c r="I191" s="1"/>
    </row>
    <row r="192" spans="1:9" x14ac:dyDescent="0.3">
      <c r="A192" t="s">
        <v>10</v>
      </c>
      <c r="B192" t="s">
        <v>249</v>
      </c>
      <c r="C192" s="1">
        <v>2</v>
      </c>
      <c r="D192" s="1">
        <v>8950000</v>
      </c>
      <c r="E192" s="1"/>
      <c r="F192" s="1"/>
      <c r="G192" s="1">
        <v>1</v>
      </c>
      <c r="H192" s="1"/>
      <c r="I192" s="1"/>
    </row>
    <row r="193" spans="1:9" x14ac:dyDescent="0.3">
      <c r="A193" t="s">
        <v>10</v>
      </c>
      <c r="B193" t="s">
        <v>250</v>
      </c>
      <c r="C193" s="1">
        <v>12</v>
      </c>
      <c r="D193" s="1">
        <v>2950000</v>
      </c>
      <c r="E193" s="1"/>
      <c r="F193" s="1">
        <v>1</v>
      </c>
      <c r="G193" s="1">
        <v>1</v>
      </c>
      <c r="H193" s="1"/>
      <c r="I193" s="1">
        <v>15</v>
      </c>
    </row>
    <row r="194" spans="1:9" x14ac:dyDescent="0.3">
      <c r="A194" t="s">
        <v>10</v>
      </c>
      <c r="B194" t="s">
        <v>251</v>
      </c>
      <c r="C194" s="1">
        <v>6</v>
      </c>
      <c r="D194" s="1">
        <v>13000000</v>
      </c>
      <c r="E194" s="1"/>
      <c r="F194" s="1"/>
      <c r="G194" s="1">
        <v>1</v>
      </c>
      <c r="H194" s="1"/>
      <c r="I194" s="1"/>
    </row>
    <row r="195" spans="1:9" x14ac:dyDescent="0.3">
      <c r="A195" t="s">
        <v>10</v>
      </c>
      <c r="B195" t="s">
        <v>252</v>
      </c>
      <c r="C195" s="1"/>
      <c r="D195" s="1">
        <v>14500000</v>
      </c>
      <c r="E195" s="1"/>
      <c r="F195" s="1">
        <v>1</v>
      </c>
      <c r="G195" s="1">
        <v>1</v>
      </c>
      <c r="H195" s="1"/>
      <c r="I195" s="1"/>
    </row>
    <row r="196" spans="1:9" x14ac:dyDescent="0.3">
      <c r="A196" t="s">
        <v>10</v>
      </c>
      <c r="B196" t="s">
        <v>253</v>
      </c>
      <c r="C196" s="1">
        <v>2</v>
      </c>
      <c r="D196" s="1">
        <v>14500000</v>
      </c>
      <c r="E196" s="1"/>
      <c r="F196" s="1"/>
      <c r="G196" s="1">
        <v>1</v>
      </c>
      <c r="H196" s="1"/>
      <c r="I196" s="1"/>
    </row>
    <row r="197" spans="1:9" x14ac:dyDescent="0.3">
      <c r="A197" t="s">
        <v>10</v>
      </c>
      <c r="B197" t="s">
        <v>254</v>
      </c>
      <c r="C197" s="1"/>
      <c r="D197" s="1">
        <v>14500000</v>
      </c>
      <c r="E197" s="1"/>
      <c r="F197" s="1">
        <v>1</v>
      </c>
      <c r="G197" s="1">
        <v>2</v>
      </c>
      <c r="H197" s="1"/>
      <c r="I197" s="1"/>
    </row>
    <row r="198" spans="1:9" x14ac:dyDescent="0.3">
      <c r="A198" t="s">
        <v>10</v>
      </c>
      <c r="B198" t="s">
        <v>114</v>
      </c>
      <c r="C198" s="1">
        <v>1</v>
      </c>
      <c r="D198" s="1">
        <v>11000000</v>
      </c>
      <c r="E198" s="1">
        <v>1</v>
      </c>
      <c r="F198" s="1">
        <v>1</v>
      </c>
      <c r="G198" s="1">
        <v>1</v>
      </c>
      <c r="H198" s="1"/>
      <c r="I198" s="1"/>
    </row>
    <row r="199" spans="1:9" x14ac:dyDescent="0.3">
      <c r="A199" t="s">
        <v>10</v>
      </c>
      <c r="B199" t="s">
        <v>114</v>
      </c>
      <c r="C199" s="1">
        <v>6</v>
      </c>
      <c r="D199" s="1">
        <v>12000000</v>
      </c>
      <c r="E199" s="1"/>
      <c r="F199" s="1"/>
      <c r="G199" s="1"/>
      <c r="H199" s="1"/>
      <c r="I199" s="1">
        <v>4</v>
      </c>
    </row>
    <row r="200" spans="1:9" x14ac:dyDescent="0.3">
      <c r="A200" t="s">
        <v>10</v>
      </c>
      <c r="B200" t="s">
        <v>255</v>
      </c>
      <c r="C200" s="1">
        <v>8</v>
      </c>
      <c r="D200" s="1">
        <v>17500000</v>
      </c>
      <c r="E200" s="1"/>
      <c r="F200" s="1">
        <v>1</v>
      </c>
      <c r="G200" s="1">
        <v>2</v>
      </c>
      <c r="H200" s="1"/>
      <c r="I200" s="1"/>
    </row>
    <row r="201" spans="1:9" x14ac:dyDescent="0.3">
      <c r="A201" t="s">
        <v>10</v>
      </c>
      <c r="B201" t="s">
        <v>147</v>
      </c>
      <c r="C201" s="1">
        <v>10</v>
      </c>
      <c r="D201" s="1">
        <v>13100000</v>
      </c>
      <c r="E201" s="1"/>
      <c r="F201" s="1">
        <v>2</v>
      </c>
      <c r="G201" s="1">
        <v>1</v>
      </c>
      <c r="H201" s="1"/>
      <c r="I201" s="1">
        <v>6</v>
      </c>
    </row>
    <row r="202" spans="1:9" x14ac:dyDescent="0.3">
      <c r="A202" t="s">
        <v>10</v>
      </c>
      <c r="B202" t="s">
        <v>256</v>
      </c>
      <c r="C202" s="1">
        <v>9</v>
      </c>
      <c r="D202" s="1">
        <v>14000000</v>
      </c>
      <c r="E202" s="1"/>
      <c r="F202" s="1">
        <v>1</v>
      </c>
      <c r="G202" s="1">
        <v>2</v>
      </c>
      <c r="H202" s="1"/>
      <c r="I202" s="1"/>
    </row>
    <row r="203" spans="1:9" x14ac:dyDescent="0.3">
      <c r="A203" t="s">
        <v>10</v>
      </c>
      <c r="B203" t="s">
        <v>257</v>
      </c>
      <c r="C203" s="1">
        <v>1</v>
      </c>
      <c r="D203" s="1">
        <v>22000000</v>
      </c>
      <c r="E203" s="1"/>
      <c r="F203" s="1"/>
      <c r="G203" s="1">
        <v>1</v>
      </c>
      <c r="H203" s="1"/>
      <c r="I203" s="1"/>
    </row>
    <row r="204" spans="1:9" x14ac:dyDescent="0.3">
      <c r="A204" t="s">
        <v>10</v>
      </c>
      <c r="B204" t="s">
        <v>258</v>
      </c>
      <c r="C204" s="1">
        <v>1</v>
      </c>
      <c r="D204" s="1">
        <v>17500000</v>
      </c>
      <c r="E204" s="1"/>
      <c r="F204" s="1"/>
      <c r="G204" s="1"/>
      <c r="H204" s="1"/>
      <c r="I204" s="1"/>
    </row>
    <row r="205" spans="1:9" x14ac:dyDescent="0.3">
      <c r="A205" t="s">
        <v>10</v>
      </c>
      <c r="B205" t="s">
        <v>259</v>
      </c>
      <c r="C205" s="1">
        <v>1</v>
      </c>
      <c r="D205" s="1">
        <v>23500000</v>
      </c>
      <c r="E205" s="1"/>
      <c r="F205" s="1"/>
      <c r="G205" s="1">
        <v>1</v>
      </c>
      <c r="H205" s="1"/>
      <c r="I205" s="1"/>
    </row>
    <row r="206" spans="1:9" x14ac:dyDescent="0.3">
      <c r="A206" t="s">
        <v>10</v>
      </c>
      <c r="B206" t="s">
        <v>260</v>
      </c>
      <c r="C206" s="1">
        <v>23</v>
      </c>
      <c r="D206" s="1">
        <v>16600000</v>
      </c>
      <c r="E206" s="1"/>
      <c r="F206" s="1">
        <v>0</v>
      </c>
      <c r="G206" s="1">
        <v>0</v>
      </c>
      <c r="H206" s="1"/>
      <c r="I206" s="1"/>
    </row>
    <row r="207" spans="1:9" x14ac:dyDescent="0.3">
      <c r="A207" t="s">
        <v>10</v>
      </c>
      <c r="B207" t="s">
        <v>261</v>
      </c>
      <c r="C207" s="1">
        <v>12</v>
      </c>
      <c r="D207" s="1">
        <v>23500000</v>
      </c>
      <c r="E207" s="1"/>
      <c r="F207" s="1"/>
      <c r="G207" s="1"/>
      <c r="H207" s="1"/>
      <c r="I207" s="1"/>
    </row>
    <row r="208" spans="1:9" x14ac:dyDescent="0.3">
      <c r="A208" t="s">
        <v>10</v>
      </c>
      <c r="B208" t="s">
        <v>118</v>
      </c>
      <c r="C208" s="1">
        <v>3</v>
      </c>
      <c r="D208" s="1">
        <v>26500000</v>
      </c>
      <c r="E208" s="1"/>
      <c r="F208" s="1"/>
      <c r="G208" s="1">
        <v>1</v>
      </c>
      <c r="H208" s="1"/>
      <c r="I208" s="1"/>
    </row>
    <row r="209" spans="1:9" x14ac:dyDescent="0.3">
      <c r="A209" t="s">
        <v>10</v>
      </c>
      <c r="B209" t="s">
        <v>262</v>
      </c>
      <c r="C209" s="1">
        <v>1</v>
      </c>
      <c r="D209" s="1">
        <v>30500000</v>
      </c>
      <c r="E209" s="1"/>
      <c r="F209" s="1">
        <v>1</v>
      </c>
      <c r="G209" s="1">
        <v>1</v>
      </c>
      <c r="H209" s="1"/>
      <c r="I209" s="1"/>
    </row>
    <row r="210" spans="1:9" x14ac:dyDescent="0.3">
      <c r="A210" t="s">
        <v>215</v>
      </c>
      <c r="B210" t="s">
        <v>263</v>
      </c>
      <c r="C210" s="1">
        <v>2</v>
      </c>
      <c r="D210" s="1">
        <v>1550000</v>
      </c>
      <c r="E210" s="1"/>
      <c r="F210" s="1"/>
      <c r="G210" s="1"/>
      <c r="H210" s="1"/>
      <c r="I210" s="1"/>
    </row>
    <row r="211" spans="1:9" x14ac:dyDescent="0.3">
      <c r="A211" t="s">
        <v>264</v>
      </c>
      <c r="B211" t="s">
        <v>265</v>
      </c>
      <c r="C211" s="1">
        <v>33</v>
      </c>
      <c r="D211" s="1">
        <v>17000000</v>
      </c>
      <c r="E211" s="1"/>
      <c r="F211" s="1">
        <v>-1</v>
      </c>
      <c r="G211" s="1">
        <v>1</v>
      </c>
      <c r="H211" s="1"/>
      <c r="I211" s="1"/>
    </row>
    <row r="212" spans="1:9" x14ac:dyDescent="0.3">
      <c r="A212" t="s">
        <v>125</v>
      </c>
      <c r="B212" t="s">
        <v>266</v>
      </c>
      <c r="C212" s="1"/>
      <c r="D212" s="1">
        <v>650000</v>
      </c>
      <c r="E212" s="1"/>
      <c r="F212" s="1"/>
      <c r="G212" s="1">
        <v>2</v>
      </c>
      <c r="H212" s="1"/>
      <c r="I212" s="1"/>
    </row>
    <row r="213" spans="1:9" x14ac:dyDescent="0.3">
      <c r="A213" t="s">
        <v>125</v>
      </c>
      <c r="B213" t="s">
        <v>267</v>
      </c>
      <c r="C213" s="1"/>
      <c r="D213" s="1">
        <v>1800000</v>
      </c>
      <c r="E213" s="1"/>
      <c r="F213" s="1"/>
      <c r="G213" s="1"/>
      <c r="H213" s="1"/>
      <c r="I213" s="1"/>
    </row>
    <row r="214" spans="1:9" x14ac:dyDescent="0.3">
      <c r="A214" t="s">
        <v>125</v>
      </c>
      <c r="B214" t="s">
        <v>268</v>
      </c>
      <c r="C214" s="1">
        <v>2</v>
      </c>
      <c r="D214" s="1">
        <v>1500000</v>
      </c>
      <c r="E214" s="1"/>
      <c r="F214" s="1">
        <v>1</v>
      </c>
      <c r="G214" s="1">
        <v>2</v>
      </c>
      <c r="H214" s="1"/>
      <c r="I214" s="1"/>
    </row>
    <row r="215" spans="1:9" x14ac:dyDescent="0.3">
      <c r="A215" t="s">
        <v>125</v>
      </c>
      <c r="B215" t="s">
        <v>269</v>
      </c>
      <c r="C215" s="1">
        <v>1</v>
      </c>
      <c r="D215" s="1">
        <v>3390000</v>
      </c>
      <c r="E215" s="1"/>
      <c r="F215" s="1"/>
      <c r="G215" s="1">
        <v>1</v>
      </c>
      <c r="H215" s="1"/>
      <c r="I215" s="1"/>
    </row>
    <row r="216" spans="1:9" x14ac:dyDescent="0.3">
      <c r="A216" t="s">
        <v>125</v>
      </c>
      <c r="B216" t="s">
        <v>270</v>
      </c>
      <c r="C216" s="1"/>
      <c r="D216" s="1">
        <v>2300000</v>
      </c>
      <c r="E216" s="1"/>
      <c r="F216" s="1"/>
      <c r="G216" s="1">
        <v>1</v>
      </c>
      <c r="H216" s="1"/>
      <c r="I216" s="1"/>
    </row>
    <row r="217" spans="1:9" x14ac:dyDescent="0.3">
      <c r="A217" t="s">
        <v>125</v>
      </c>
      <c r="B217" t="s">
        <v>31</v>
      </c>
      <c r="C217" s="1">
        <v>4</v>
      </c>
      <c r="D217" s="1">
        <v>1190000</v>
      </c>
      <c r="E217" s="1"/>
      <c r="F217" s="1">
        <v>2</v>
      </c>
      <c r="G217" s="1">
        <v>2</v>
      </c>
      <c r="H217" s="1"/>
      <c r="I217" s="1"/>
    </row>
    <row r="218" spans="1:9" x14ac:dyDescent="0.3">
      <c r="A218" t="s">
        <v>121</v>
      </c>
      <c r="B218" t="s">
        <v>87</v>
      </c>
      <c r="C218" s="1"/>
      <c r="D218" s="1">
        <v>10090000</v>
      </c>
      <c r="E218" s="1"/>
      <c r="F218" s="1"/>
      <c r="G218" s="1">
        <v>1</v>
      </c>
      <c r="H218" s="1"/>
      <c r="I218" s="1"/>
    </row>
    <row r="219" spans="1:9" x14ac:dyDescent="0.3">
      <c r="A219" t="s">
        <v>175</v>
      </c>
      <c r="B219" t="s">
        <v>271</v>
      </c>
      <c r="C219" s="1">
        <v>2</v>
      </c>
      <c r="D219" s="1">
        <v>3290000</v>
      </c>
      <c r="E219" s="1"/>
      <c r="F219" s="1">
        <v>1</v>
      </c>
      <c r="G219" s="1">
        <v>2</v>
      </c>
      <c r="H219" s="1"/>
      <c r="I219" s="1"/>
    </row>
    <row r="220" spans="1:9" x14ac:dyDescent="0.3">
      <c r="A220" t="s">
        <v>175</v>
      </c>
      <c r="B220" t="s">
        <v>47</v>
      </c>
      <c r="C220" s="1">
        <v>8</v>
      </c>
      <c r="D220" s="1">
        <v>4990000</v>
      </c>
      <c r="E220" s="1"/>
      <c r="F220" s="1"/>
      <c r="G220" s="1"/>
      <c r="H220" s="1"/>
      <c r="I220" s="1"/>
    </row>
    <row r="221" spans="1:9" x14ac:dyDescent="0.3">
      <c r="A221" t="s">
        <v>175</v>
      </c>
      <c r="B221" t="s">
        <v>272</v>
      </c>
      <c r="C221" s="1"/>
      <c r="D221" s="1">
        <v>6490000</v>
      </c>
      <c r="E221" s="1"/>
      <c r="F221" s="1"/>
      <c r="G221" s="1"/>
      <c r="H221" s="1"/>
      <c r="I221" s="1"/>
    </row>
    <row r="222" spans="1:9" x14ac:dyDescent="0.3">
      <c r="A222" t="s">
        <v>175</v>
      </c>
      <c r="B222" t="s">
        <v>180</v>
      </c>
      <c r="C222" s="1"/>
      <c r="D222" s="1">
        <v>1690000</v>
      </c>
      <c r="E222" s="1"/>
      <c r="F222" s="1">
        <v>1</v>
      </c>
      <c r="G222" s="1">
        <v>1</v>
      </c>
      <c r="H222" s="1"/>
      <c r="I222" s="1"/>
    </row>
    <row r="223" spans="1:9" x14ac:dyDescent="0.3">
      <c r="A223" t="s">
        <v>96</v>
      </c>
      <c r="B223" t="s">
        <v>273</v>
      </c>
      <c r="C223" s="1"/>
      <c r="D223" s="1">
        <v>1200000</v>
      </c>
      <c r="E223" s="1"/>
      <c r="F223" s="1"/>
      <c r="G223" s="1"/>
      <c r="H223" s="1"/>
      <c r="I223" s="1"/>
    </row>
    <row r="224" spans="1:9" x14ac:dyDescent="0.3">
      <c r="A224" t="s">
        <v>96</v>
      </c>
      <c r="B224" t="s">
        <v>274</v>
      </c>
      <c r="C224" s="1"/>
      <c r="D224" s="1">
        <v>900000</v>
      </c>
      <c r="E224" s="1"/>
      <c r="F224" s="1"/>
      <c r="G224" s="1"/>
      <c r="H224" s="1"/>
      <c r="I224" s="1"/>
    </row>
    <row r="225" spans="1:9" x14ac:dyDescent="0.3">
      <c r="A225" t="s">
        <v>96</v>
      </c>
      <c r="B225" t="s">
        <v>275</v>
      </c>
      <c r="C225" s="1"/>
      <c r="D225" s="1">
        <v>3000000</v>
      </c>
      <c r="E225" s="1"/>
      <c r="F225" s="1"/>
      <c r="G225" s="1"/>
      <c r="H225" s="1"/>
      <c r="I225" s="1"/>
    </row>
    <row r="226" spans="1:9" x14ac:dyDescent="0.3">
      <c r="A226" t="s">
        <v>96</v>
      </c>
      <c r="B226" t="s">
        <v>276</v>
      </c>
      <c r="C226" s="1">
        <v>2</v>
      </c>
      <c r="D226" s="1">
        <v>4990000</v>
      </c>
      <c r="E226" s="1"/>
      <c r="F226" s="1">
        <v>1</v>
      </c>
      <c r="G226" s="1">
        <v>2</v>
      </c>
      <c r="H226" s="1"/>
      <c r="I226" s="1"/>
    </row>
    <row r="227" spans="1:9" x14ac:dyDescent="0.3">
      <c r="A227" t="s">
        <v>96</v>
      </c>
      <c r="B227" t="s">
        <v>277</v>
      </c>
      <c r="C227" s="1"/>
      <c r="D227" s="1">
        <v>2800000</v>
      </c>
      <c r="E227" s="1"/>
      <c r="F227" s="1">
        <v>1</v>
      </c>
      <c r="G227" s="1">
        <v>2</v>
      </c>
      <c r="H227" s="1"/>
      <c r="I227" s="1"/>
    </row>
    <row r="228" spans="1:9" x14ac:dyDescent="0.3">
      <c r="A228" t="s">
        <v>96</v>
      </c>
      <c r="B228" t="s">
        <v>278</v>
      </c>
      <c r="C228" s="1">
        <v>2</v>
      </c>
      <c r="D228" s="1">
        <v>3800000</v>
      </c>
      <c r="E228" s="1"/>
      <c r="F228" s="1"/>
      <c r="G228" s="1">
        <v>2</v>
      </c>
      <c r="H228" s="1"/>
      <c r="I228" s="1"/>
    </row>
    <row r="229" spans="1:9" x14ac:dyDescent="0.3">
      <c r="A229" t="s">
        <v>96</v>
      </c>
      <c r="B229" t="s">
        <v>279</v>
      </c>
      <c r="C229" s="1"/>
      <c r="D229" s="1">
        <v>7400000</v>
      </c>
      <c r="E229" s="1"/>
      <c r="F229" s="1"/>
      <c r="G229" s="1"/>
      <c r="H229" s="1"/>
      <c r="I229" s="1"/>
    </row>
    <row r="230" spans="1:9" x14ac:dyDescent="0.3">
      <c r="A230" t="s">
        <v>96</v>
      </c>
      <c r="B230" t="s">
        <v>193</v>
      </c>
      <c r="C230" s="1">
        <v>2</v>
      </c>
      <c r="D230" s="1">
        <v>14200000</v>
      </c>
      <c r="E230" s="1"/>
      <c r="F230" s="1"/>
      <c r="G230" s="1"/>
      <c r="H230" s="1"/>
      <c r="I230" s="1"/>
    </row>
    <row r="231" spans="1:9" x14ac:dyDescent="0.3">
      <c r="A231" t="s">
        <v>96</v>
      </c>
      <c r="B231" t="s">
        <v>280</v>
      </c>
      <c r="C231" s="1">
        <v>1</v>
      </c>
      <c r="D231" s="1">
        <v>10000000</v>
      </c>
      <c r="E231" s="1"/>
      <c r="F231" s="1"/>
      <c r="G231" s="1"/>
      <c r="H231" s="1">
        <v>1</v>
      </c>
      <c r="I231" s="1">
        <v>1</v>
      </c>
    </row>
    <row r="232" spans="1:9" x14ac:dyDescent="0.3">
      <c r="A232" t="s">
        <v>96</v>
      </c>
      <c r="B232" t="s">
        <v>219</v>
      </c>
      <c r="C232" s="1"/>
      <c r="D232" s="1">
        <v>10300000</v>
      </c>
      <c r="E232" s="1"/>
      <c r="F232" s="1"/>
      <c r="G232" s="1"/>
      <c r="H232" s="1"/>
      <c r="I232" s="1"/>
    </row>
    <row r="233" spans="1:9" x14ac:dyDescent="0.3">
      <c r="A233" t="s">
        <v>96</v>
      </c>
      <c r="B233" t="s">
        <v>90</v>
      </c>
      <c r="C233" s="1"/>
      <c r="D233" s="1">
        <v>14090000</v>
      </c>
      <c r="E233" s="1"/>
      <c r="F233" s="1">
        <v>1</v>
      </c>
      <c r="G233" s="1">
        <v>2</v>
      </c>
      <c r="H233" s="1"/>
      <c r="I233" s="1"/>
    </row>
    <row r="234" spans="1:9" x14ac:dyDescent="0.3">
      <c r="A234" t="s">
        <v>96</v>
      </c>
      <c r="B234" t="s">
        <v>200</v>
      </c>
      <c r="C234" s="1">
        <v>2</v>
      </c>
      <c r="D234" s="1">
        <v>25590000</v>
      </c>
      <c r="E234" s="1"/>
      <c r="F234" s="1">
        <v>1</v>
      </c>
      <c r="G234" s="1">
        <v>2</v>
      </c>
      <c r="H234" s="1"/>
      <c r="I234" s="1"/>
    </row>
    <row r="235" spans="1:9" x14ac:dyDescent="0.3">
      <c r="A235" t="s">
        <v>98</v>
      </c>
      <c r="B235" t="s">
        <v>281</v>
      </c>
      <c r="C235" s="1"/>
      <c r="D235" s="1">
        <v>2300000</v>
      </c>
      <c r="E235" s="1"/>
      <c r="F235" s="1">
        <v>1</v>
      </c>
      <c r="G235" s="1">
        <v>2</v>
      </c>
      <c r="H235" s="1"/>
      <c r="I235" s="1"/>
    </row>
    <row r="236" spans="1:9" x14ac:dyDescent="0.3">
      <c r="A236" t="s">
        <v>98</v>
      </c>
      <c r="B236" t="s">
        <v>62</v>
      </c>
      <c r="C236" s="1">
        <v>6</v>
      </c>
      <c r="D236" s="1">
        <v>850000</v>
      </c>
      <c r="E236" s="1"/>
      <c r="F236" s="1"/>
      <c r="G236" s="1"/>
      <c r="H236" s="1"/>
      <c r="I236" s="1"/>
    </row>
    <row r="237" spans="1:9" x14ac:dyDescent="0.3">
      <c r="A237" t="s">
        <v>98</v>
      </c>
      <c r="B237" t="s">
        <v>263</v>
      </c>
      <c r="C237" s="1"/>
      <c r="D237" s="1">
        <v>1550000</v>
      </c>
      <c r="E237" s="1"/>
      <c r="F237" s="1"/>
      <c r="G237" s="1">
        <v>1</v>
      </c>
      <c r="H237" s="1"/>
      <c r="I237" s="1"/>
    </row>
    <row r="238" spans="1:9" x14ac:dyDescent="0.3">
      <c r="A238" t="s">
        <v>98</v>
      </c>
      <c r="B238" t="s">
        <v>282</v>
      </c>
      <c r="C238" s="1"/>
      <c r="D238" s="1">
        <v>3190000</v>
      </c>
      <c r="E238" s="1"/>
      <c r="F238" s="1"/>
      <c r="G238" s="1">
        <v>1</v>
      </c>
      <c r="H238" s="1"/>
      <c r="I238" s="1"/>
    </row>
    <row r="239" spans="1:9" x14ac:dyDescent="0.3">
      <c r="A239" t="s">
        <v>98</v>
      </c>
      <c r="B239" t="s">
        <v>283</v>
      </c>
      <c r="C239" s="1"/>
      <c r="D239" s="1">
        <v>2600000</v>
      </c>
      <c r="E239" s="1"/>
      <c r="F239" s="1">
        <v>1</v>
      </c>
      <c r="G239" s="1">
        <v>1</v>
      </c>
      <c r="H239" s="1"/>
      <c r="I239" s="1"/>
    </row>
    <row r="240" spans="1:9" x14ac:dyDescent="0.3">
      <c r="A240" t="s">
        <v>142</v>
      </c>
      <c r="B240" t="s">
        <v>284</v>
      </c>
      <c r="C240" s="1"/>
      <c r="D240" s="1">
        <v>1800000</v>
      </c>
      <c r="E240" s="1"/>
      <c r="F240" s="1"/>
      <c r="G240" s="1">
        <v>1</v>
      </c>
      <c r="H240" s="1"/>
      <c r="I240" s="1"/>
    </row>
    <row r="241" spans="1:9" x14ac:dyDescent="0.3">
      <c r="A241" t="s">
        <v>142</v>
      </c>
      <c r="B241" t="s">
        <v>91</v>
      </c>
      <c r="C241" s="1">
        <v>5</v>
      </c>
      <c r="D241" s="1">
        <v>7090000</v>
      </c>
      <c r="E241" s="1"/>
      <c r="F241" s="1">
        <v>1</v>
      </c>
      <c r="G241" s="1">
        <v>2</v>
      </c>
      <c r="H241" s="1"/>
      <c r="I241" s="1"/>
    </row>
    <row r="242" spans="1:9" x14ac:dyDescent="0.3">
      <c r="A242" t="s">
        <v>142</v>
      </c>
      <c r="B242" t="s">
        <v>181</v>
      </c>
      <c r="C242" s="1">
        <v>2</v>
      </c>
      <c r="D242" s="1">
        <v>11490000</v>
      </c>
      <c r="E242" s="1"/>
      <c r="F242" s="1"/>
      <c r="G242" s="1">
        <v>2</v>
      </c>
      <c r="H242" s="1"/>
      <c r="I242" s="1"/>
    </row>
    <row r="243" spans="1:9" x14ac:dyDescent="0.3">
      <c r="A243" t="s">
        <v>142</v>
      </c>
      <c r="B243" t="s">
        <v>40</v>
      </c>
      <c r="C243" s="1">
        <v>1</v>
      </c>
      <c r="D243" s="1">
        <v>3190000</v>
      </c>
      <c r="E243" s="1">
        <v>1</v>
      </c>
      <c r="F243" s="1">
        <v>2</v>
      </c>
      <c r="G243" s="1">
        <v>2</v>
      </c>
      <c r="H243" s="1"/>
      <c r="I243" s="1"/>
    </row>
    <row r="244" spans="1:9" x14ac:dyDescent="0.3">
      <c r="A244" t="s">
        <v>156</v>
      </c>
      <c r="B244" t="s">
        <v>285</v>
      </c>
      <c r="C244" s="1"/>
      <c r="D244" s="1">
        <v>4400000</v>
      </c>
      <c r="E244" s="1"/>
      <c r="F244" s="1"/>
      <c r="G244" s="1"/>
      <c r="H244" s="1"/>
      <c r="I244" s="1"/>
    </row>
    <row r="245" spans="1:9" x14ac:dyDescent="0.3">
      <c r="A245" t="s">
        <v>156</v>
      </c>
      <c r="B245" t="s">
        <v>286</v>
      </c>
      <c r="C245" s="1"/>
      <c r="D245" s="1">
        <v>4000000</v>
      </c>
      <c r="E245" s="1"/>
      <c r="F245" s="1"/>
      <c r="G245" s="1">
        <v>1</v>
      </c>
      <c r="H245" s="1"/>
      <c r="I245" s="1"/>
    </row>
    <row r="246" spans="1:9" x14ac:dyDescent="0.3">
      <c r="A246" t="s">
        <v>156</v>
      </c>
      <c r="B246" t="s">
        <v>286</v>
      </c>
      <c r="C246" s="1"/>
      <c r="D246" s="1">
        <v>3600000</v>
      </c>
      <c r="E246" s="1"/>
      <c r="F246" s="1">
        <v>1</v>
      </c>
      <c r="G246" s="1">
        <v>1</v>
      </c>
      <c r="H246" s="1"/>
      <c r="I246" s="1"/>
    </row>
    <row r="247" spans="1:9" x14ac:dyDescent="0.3">
      <c r="A247" t="s">
        <v>156</v>
      </c>
      <c r="B247" t="s">
        <v>286</v>
      </c>
      <c r="C247" s="1"/>
      <c r="D247" s="1">
        <v>3200000</v>
      </c>
      <c r="E247" s="1"/>
      <c r="F247" s="1"/>
      <c r="G247" s="1"/>
      <c r="H247" s="1"/>
      <c r="I247" s="1"/>
    </row>
    <row r="248" spans="1:9" x14ac:dyDescent="0.3">
      <c r="A248" t="s">
        <v>156</v>
      </c>
      <c r="B248" t="s">
        <v>287</v>
      </c>
      <c r="C248" s="1"/>
      <c r="D248" s="1">
        <v>4400000</v>
      </c>
      <c r="E248" s="1"/>
      <c r="F248" s="1"/>
      <c r="G248" s="1"/>
      <c r="H248" s="1"/>
      <c r="I248" s="1"/>
    </row>
    <row r="249" spans="1:9" x14ac:dyDescent="0.3">
      <c r="A249" t="s">
        <v>156</v>
      </c>
      <c r="B249" t="s">
        <v>288</v>
      </c>
      <c r="C249" s="1"/>
      <c r="D249" s="1">
        <v>5400000</v>
      </c>
      <c r="E249" s="1"/>
      <c r="F249" s="1"/>
      <c r="G249" s="1"/>
      <c r="H249" s="1"/>
      <c r="I249" s="1"/>
    </row>
    <row r="250" spans="1:9" x14ac:dyDescent="0.3">
      <c r="A250" t="s">
        <v>156</v>
      </c>
      <c r="B250" t="s">
        <v>289</v>
      </c>
      <c r="C250" s="1"/>
      <c r="D250" s="1">
        <v>4800000</v>
      </c>
      <c r="E250" s="1"/>
      <c r="F250" s="1"/>
      <c r="G250" s="1"/>
      <c r="H250" s="1"/>
      <c r="I250" s="1"/>
    </row>
    <row r="251" spans="1:9" x14ac:dyDescent="0.3">
      <c r="A251" t="s">
        <v>156</v>
      </c>
      <c r="B251" t="s">
        <v>29</v>
      </c>
      <c r="C251" s="1">
        <v>2</v>
      </c>
      <c r="D251" s="1">
        <v>5200000</v>
      </c>
      <c r="E251" s="1">
        <v>1</v>
      </c>
      <c r="F251" s="1">
        <v>2</v>
      </c>
      <c r="G251" s="1">
        <v>2</v>
      </c>
      <c r="H251" s="1"/>
      <c r="I251" s="1"/>
    </row>
    <row r="252" spans="1:9" x14ac:dyDescent="0.3">
      <c r="A252" t="s">
        <v>156</v>
      </c>
      <c r="B252" t="s">
        <v>290</v>
      </c>
      <c r="C252" s="1"/>
      <c r="D252" s="1">
        <v>4200000</v>
      </c>
      <c r="E252" s="1"/>
      <c r="F252" s="1"/>
      <c r="G252" s="1"/>
      <c r="H252" s="1"/>
      <c r="I252" s="1"/>
    </row>
    <row r="253" spans="1:9" x14ac:dyDescent="0.3">
      <c r="A253" t="s">
        <v>156</v>
      </c>
      <c r="B253" t="s">
        <v>291</v>
      </c>
      <c r="C253" s="1"/>
      <c r="D253" s="1">
        <v>7000000</v>
      </c>
      <c r="E253" s="1"/>
      <c r="F253" s="1"/>
      <c r="G253" s="1">
        <v>1</v>
      </c>
      <c r="H253" s="1"/>
      <c r="I253" s="1"/>
    </row>
    <row r="254" spans="1:9" x14ac:dyDescent="0.3">
      <c r="A254" t="s">
        <v>156</v>
      </c>
      <c r="B254" t="s">
        <v>291</v>
      </c>
      <c r="C254" s="1">
        <v>1</v>
      </c>
      <c r="D254" s="1">
        <v>6000000</v>
      </c>
      <c r="E254" s="1"/>
      <c r="F254" s="1"/>
      <c r="G254" s="1"/>
      <c r="H254" s="1"/>
      <c r="I254" s="1"/>
    </row>
    <row r="255" spans="1:9" x14ac:dyDescent="0.3">
      <c r="A255" t="s">
        <v>156</v>
      </c>
      <c r="B255" t="s">
        <v>291</v>
      </c>
      <c r="C255" s="1">
        <v>1</v>
      </c>
      <c r="D255" s="1">
        <v>6500000</v>
      </c>
      <c r="E255" s="1"/>
      <c r="F255" s="1"/>
      <c r="G255" s="1">
        <v>1</v>
      </c>
      <c r="H255" s="1"/>
      <c r="I255" s="1"/>
    </row>
    <row r="256" spans="1:9" x14ac:dyDescent="0.3">
      <c r="A256" t="s">
        <v>156</v>
      </c>
      <c r="B256" t="s">
        <v>292</v>
      </c>
      <c r="C256" s="1"/>
      <c r="D256" s="1">
        <v>6200000</v>
      </c>
      <c r="E256" s="1"/>
      <c r="F256" s="1">
        <v>1</v>
      </c>
      <c r="G256" s="1">
        <v>1</v>
      </c>
      <c r="H256" s="1"/>
      <c r="I256" s="1"/>
    </row>
    <row r="257" spans="1:9" x14ac:dyDescent="0.3">
      <c r="A257" t="s">
        <v>156</v>
      </c>
      <c r="B257" t="s">
        <v>293</v>
      </c>
      <c r="C257" s="1">
        <v>2</v>
      </c>
      <c r="D257" s="1">
        <v>11300000</v>
      </c>
      <c r="E257" s="1"/>
      <c r="F257" s="1"/>
      <c r="G257" s="1"/>
      <c r="H257" s="1"/>
      <c r="I257" s="1"/>
    </row>
    <row r="258" spans="1:9" x14ac:dyDescent="0.3">
      <c r="A258" t="s">
        <v>156</v>
      </c>
      <c r="B258" t="s">
        <v>294</v>
      </c>
      <c r="C258" s="1"/>
      <c r="D258" s="1">
        <v>15000000</v>
      </c>
      <c r="E258" s="1"/>
      <c r="F258" s="1"/>
      <c r="G258" s="1">
        <v>1</v>
      </c>
      <c r="H258" s="1"/>
      <c r="I258" s="1"/>
    </row>
    <row r="259" spans="1:9" x14ac:dyDescent="0.3">
      <c r="A259" t="s">
        <v>156</v>
      </c>
      <c r="B259" t="s">
        <v>41</v>
      </c>
      <c r="C259" s="1">
        <v>1</v>
      </c>
      <c r="D259" s="1">
        <v>8000000</v>
      </c>
      <c r="E259" s="1"/>
      <c r="F259" s="1"/>
      <c r="G259" s="1">
        <v>1</v>
      </c>
      <c r="H259" s="1"/>
      <c r="I259" s="1"/>
    </row>
    <row r="260" spans="1:9" x14ac:dyDescent="0.3">
      <c r="A260" t="s">
        <v>156</v>
      </c>
      <c r="B260" t="s">
        <v>295</v>
      </c>
      <c r="C260" s="1">
        <v>5</v>
      </c>
      <c r="D260" s="1">
        <v>8500000</v>
      </c>
      <c r="E260" s="1"/>
      <c r="F260" s="1"/>
      <c r="G260" s="1"/>
      <c r="H260" s="1"/>
      <c r="I260" s="1"/>
    </row>
    <row r="261" spans="1:9" x14ac:dyDescent="0.3">
      <c r="A261" t="s">
        <v>156</v>
      </c>
      <c r="B261" t="s">
        <v>224</v>
      </c>
      <c r="C261" s="1"/>
      <c r="D261" s="1">
        <v>16000000</v>
      </c>
      <c r="E261" s="1"/>
      <c r="F261" s="1"/>
      <c r="G261" s="1">
        <v>1</v>
      </c>
      <c r="H261" s="1"/>
      <c r="I261" s="1"/>
    </row>
    <row r="262" spans="1:9" x14ac:dyDescent="0.3">
      <c r="A262" t="s">
        <v>156</v>
      </c>
      <c r="B262" t="s">
        <v>50</v>
      </c>
      <c r="C262" s="1">
        <v>1</v>
      </c>
      <c r="D262" s="1">
        <v>8600000</v>
      </c>
      <c r="E262" s="1"/>
      <c r="F262" s="1">
        <v>1</v>
      </c>
      <c r="G262" s="1">
        <v>1</v>
      </c>
      <c r="H262" s="1"/>
      <c r="I262" s="1"/>
    </row>
    <row r="263" spans="1:9" x14ac:dyDescent="0.3">
      <c r="A263" t="s">
        <v>156</v>
      </c>
      <c r="B263" t="s">
        <v>296</v>
      </c>
      <c r="C263" s="1">
        <v>1</v>
      </c>
      <c r="D263" s="1">
        <v>11300000</v>
      </c>
      <c r="E263" s="1"/>
      <c r="F263" s="1"/>
      <c r="G263" s="1">
        <v>1</v>
      </c>
      <c r="H263" s="1"/>
      <c r="I263" s="1"/>
    </row>
    <row r="264" spans="1:9" x14ac:dyDescent="0.3">
      <c r="A264" t="s">
        <v>201</v>
      </c>
      <c r="B264" t="s">
        <v>297</v>
      </c>
      <c r="C264" s="1"/>
      <c r="D264" s="1">
        <v>3200000</v>
      </c>
      <c r="E264" s="1"/>
      <c r="F264" s="1"/>
      <c r="G264" s="1"/>
      <c r="H264" s="1"/>
      <c r="I264" s="1"/>
    </row>
    <row r="265" spans="1:9" x14ac:dyDescent="0.3">
      <c r="A265" t="s">
        <v>143</v>
      </c>
      <c r="B265" t="s">
        <v>92</v>
      </c>
      <c r="C265" s="1"/>
      <c r="D265" s="1">
        <v>4600000</v>
      </c>
      <c r="E265" s="1"/>
      <c r="F265" s="1"/>
      <c r="G265" s="1">
        <v>1</v>
      </c>
      <c r="H265" s="1"/>
      <c r="I265" s="1"/>
    </row>
    <row r="266" spans="1:9" x14ac:dyDescent="0.3">
      <c r="A266" t="s">
        <v>143</v>
      </c>
      <c r="B266" t="s">
        <v>298</v>
      </c>
      <c r="C266" s="1"/>
      <c r="D266" s="1">
        <v>4000000</v>
      </c>
      <c r="E266" s="1"/>
      <c r="F266" s="1"/>
      <c r="G266" s="1">
        <v>1</v>
      </c>
      <c r="H266" s="1"/>
      <c r="I266" s="1"/>
    </row>
    <row r="267" spans="1:9" x14ac:dyDescent="0.3">
      <c r="A267" t="s">
        <v>143</v>
      </c>
      <c r="B267" t="s">
        <v>110</v>
      </c>
      <c r="C267" s="1">
        <v>11</v>
      </c>
      <c r="D267" s="1">
        <v>2490000</v>
      </c>
      <c r="E267" s="1">
        <v>1</v>
      </c>
      <c r="F267" s="1">
        <v>1</v>
      </c>
      <c r="G267" s="1">
        <v>1</v>
      </c>
      <c r="H267" s="1"/>
      <c r="I267" s="1"/>
    </row>
    <row r="268" spans="1:9" x14ac:dyDescent="0.3">
      <c r="A268" t="s">
        <v>93</v>
      </c>
      <c r="B268" t="s">
        <v>78</v>
      </c>
      <c r="C268" s="1">
        <v>1</v>
      </c>
      <c r="D268" s="1">
        <v>12500000</v>
      </c>
      <c r="E268" s="1"/>
      <c r="F268" s="1"/>
      <c r="G268" s="1">
        <v>1</v>
      </c>
      <c r="H268" s="1"/>
      <c r="I268" s="1"/>
    </row>
    <row r="269" spans="1:9" x14ac:dyDescent="0.3">
      <c r="A269" t="s">
        <v>93</v>
      </c>
      <c r="B269" t="s">
        <v>299</v>
      </c>
      <c r="C269" s="1">
        <v>1</v>
      </c>
      <c r="D269" s="1">
        <v>8500000</v>
      </c>
      <c r="E269" s="1">
        <v>1</v>
      </c>
      <c r="F269" s="1">
        <v>1</v>
      </c>
      <c r="G269" s="1">
        <v>1</v>
      </c>
      <c r="H269" s="1"/>
      <c r="I269" s="1"/>
    </row>
    <row r="270" spans="1:9" x14ac:dyDescent="0.3">
      <c r="A270" t="s">
        <v>93</v>
      </c>
      <c r="B270" t="s">
        <v>153</v>
      </c>
      <c r="C270" s="1"/>
      <c r="D270" s="1">
        <v>11500000</v>
      </c>
      <c r="E270" s="1"/>
      <c r="F270" s="1"/>
      <c r="G270" s="1">
        <v>1</v>
      </c>
      <c r="H270" s="1"/>
      <c r="I270" s="1"/>
    </row>
    <row r="271" spans="1:9" x14ac:dyDescent="0.3">
      <c r="A271" t="s">
        <v>93</v>
      </c>
      <c r="B271" t="s">
        <v>300</v>
      </c>
      <c r="C271" s="1"/>
      <c r="D271" s="1">
        <v>13000000</v>
      </c>
      <c r="E271" s="1"/>
      <c r="F271" s="1"/>
      <c r="G271" s="1">
        <v>1</v>
      </c>
      <c r="H271" s="1"/>
      <c r="I271" s="1"/>
    </row>
    <row r="272" spans="1:9" x14ac:dyDescent="0.3">
      <c r="A272" t="s">
        <v>93</v>
      </c>
      <c r="B272" t="s">
        <v>301</v>
      </c>
      <c r="C272" s="1">
        <v>1</v>
      </c>
      <c r="D272" s="1">
        <v>6500000</v>
      </c>
      <c r="E272" s="1">
        <v>1</v>
      </c>
      <c r="F272" s="1">
        <v>1</v>
      </c>
      <c r="G272" s="1">
        <v>1</v>
      </c>
      <c r="H272" s="1"/>
      <c r="I272" s="1"/>
    </row>
    <row r="273" spans="1:9" x14ac:dyDescent="0.3">
      <c r="A273" t="s">
        <v>93</v>
      </c>
      <c r="B273" t="s">
        <v>302</v>
      </c>
      <c r="C273" s="1"/>
      <c r="D273" s="1">
        <v>6600000</v>
      </c>
      <c r="E273" s="1">
        <v>1</v>
      </c>
      <c r="F273" s="1">
        <v>1</v>
      </c>
      <c r="G273" s="1">
        <v>0</v>
      </c>
      <c r="H273" s="1"/>
      <c r="I273" s="1"/>
    </row>
    <row r="274" spans="1:9" x14ac:dyDescent="0.3">
      <c r="A274" t="s">
        <v>93</v>
      </c>
      <c r="B274" t="s">
        <v>303</v>
      </c>
      <c r="C274" s="1">
        <v>2</v>
      </c>
      <c r="D274" s="1">
        <v>4450000</v>
      </c>
      <c r="E274" s="1"/>
      <c r="F274" s="1"/>
      <c r="G274" s="1">
        <v>1</v>
      </c>
      <c r="H274" s="1"/>
      <c r="I274" s="1"/>
    </row>
    <row r="275" spans="1:9" x14ac:dyDescent="0.3">
      <c r="A275" t="s">
        <v>93</v>
      </c>
      <c r="B275" t="s">
        <v>304</v>
      </c>
      <c r="C275" s="1">
        <v>1</v>
      </c>
      <c r="D275" s="1">
        <v>4800000</v>
      </c>
      <c r="E275" s="1"/>
      <c r="F275" s="1"/>
      <c r="G275" s="1"/>
      <c r="H275" s="1"/>
      <c r="I275" s="1"/>
    </row>
    <row r="276" spans="1:9" x14ac:dyDescent="0.3">
      <c r="A276" t="s">
        <v>93</v>
      </c>
      <c r="B276" t="s">
        <v>305</v>
      </c>
      <c r="C276" s="1"/>
      <c r="D276" s="1">
        <v>5000000</v>
      </c>
      <c r="E276" s="1"/>
      <c r="F276" s="1">
        <v>1</v>
      </c>
      <c r="G276" s="1">
        <v>1</v>
      </c>
      <c r="H276" s="1"/>
      <c r="I276" s="1"/>
    </row>
    <row r="277" spans="1:9" x14ac:dyDescent="0.3">
      <c r="A277" t="s">
        <v>93</v>
      </c>
      <c r="B277" t="s">
        <v>306</v>
      </c>
      <c r="C277" s="1"/>
      <c r="D277" s="1">
        <v>7200000</v>
      </c>
      <c r="E277" s="1"/>
      <c r="F277" s="1"/>
      <c r="G277" s="1">
        <v>1</v>
      </c>
      <c r="H277" s="1"/>
      <c r="I277" s="1"/>
    </row>
    <row r="278" spans="1:9" x14ac:dyDescent="0.3">
      <c r="A278" t="s">
        <v>93</v>
      </c>
      <c r="B278" t="s">
        <v>79</v>
      </c>
      <c r="C278" s="1"/>
      <c r="D278" s="1">
        <v>12200000</v>
      </c>
      <c r="E278" s="1"/>
      <c r="F278" s="1"/>
      <c r="G278" s="1"/>
      <c r="H278" s="1"/>
      <c r="I278" s="1"/>
    </row>
    <row r="279" spans="1:9" x14ac:dyDescent="0.3">
      <c r="A279" t="s">
        <v>93</v>
      </c>
      <c r="B279" t="s">
        <v>307</v>
      </c>
      <c r="C279" s="1"/>
      <c r="D279" s="1">
        <v>10600000</v>
      </c>
      <c r="E279" s="1"/>
      <c r="F279" s="1"/>
      <c r="G279" s="1">
        <v>1</v>
      </c>
      <c r="H279" s="1"/>
      <c r="I279" s="1"/>
    </row>
    <row r="280" spans="1:9" x14ac:dyDescent="0.3">
      <c r="A280" t="s">
        <v>93</v>
      </c>
      <c r="B280" t="s">
        <v>307</v>
      </c>
      <c r="C280" s="1"/>
      <c r="D280" s="1">
        <v>10200000</v>
      </c>
      <c r="E280" s="1">
        <v>1</v>
      </c>
      <c r="F280" s="1">
        <v>1</v>
      </c>
      <c r="G280" s="1">
        <v>1</v>
      </c>
      <c r="H280" s="1"/>
      <c r="I280" s="1"/>
    </row>
    <row r="281" spans="1:9" x14ac:dyDescent="0.3">
      <c r="A281" t="s">
        <v>93</v>
      </c>
      <c r="B281" t="s">
        <v>308</v>
      </c>
      <c r="C281" s="1">
        <v>2</v>
      </c>
      <c r="D281" s="1">
        <v>8400000</v>
      </c>
      <c r="E281" s="1"/>
      <c r="F281" s="1"/>
      <c r="G281" s="1">
        <v>1</v>
      </c>
      <c r="H281" s="1"/>
      <c r="I281" s="1"/>
    </row>
    <row r="282" spans="1:9" x14ac:dyDescent="0.3">
      <c r="A282" t="s">
        <v>93</v>
      </c>
      <c r="B282" t="s">
        <v>309</v>
      </c>
      <c r="C282" s="1"/>
      <c r="D282" s="1">
        <v>14000000</v>
      </c>
      <c r="E282" s="1"/>
      <c r="F282" s="1"/>
      <c r="G282" s="1"/>
      <c r="H282" s="1"/>
      <c r="I282" s="1"/>
    </row>
    <row r="283" spans="1:9" x14ac:dyDescent="0.3">
      <c r="A283" t="s">
        <v>93</v>
      </c>
      <c r="B283" t="s">
        <v>310</v>
      </c>
      <c r="C283" s="1"/>
      <c r="D283" s="1">
        <v>17500000</v>
      </c>
      <c r="E283" s="1"/>
      <c r="F283" s="1"/>
      <c r="G283" s="1"/>
      <c r="H283" s="1"/>
      <c r="I283" s="1"/>
    </row>
    <row r="284" spans="1:9" x14ac:dyDescent="0.3">
      <c r="A284" t="s">
        <v>93</v>
      </c>
      <c r="B284" t="s">
        <v>311</v>
      </c>
      <c r="C284" s="1"/>
      <c r="D284" s="1">
        <v>17000000</v>
      </c>
      <c r="E284" s="1"/>
      <c r="F284" s="1"/>
      <c r="G284" s="1"/>
      <c r="H284" s="1"/>
      <c r="I284" s="1"/>
    </row>
    <row r="285" spans="1:9" x14ac:dyDescent="0.3">
      <c r="A285" t="s">
        <v>93</v>
      </c>
      <c r="B285" t="s">
        <v>312</v>
      </c>
      <c r="C285" s="1"/>
      <c r="D285" s="1">
        <v>17500000</v>
      </c>
      <c r="E285" s="1"/>
      <c r="F285" s="1"/>
      <c r="G285" s="1"/>
      <c r="H285" s="1"/>
      <c r="I285" s="1"/>
    </row>
    <row r="286" spans="1:9" x14ac:dyDescent="0.3">
      <c r="A286" t="s">
        <v>93</v>
      </c>
      <c r="B286" t="s">
        <v>313</v>
      </c>
      <c r="C286" s="1"/>
      <c r="D286" s="1">
        <v>10000000</v>
      </c>
      <c r="E286" s="1"/>
      <c r="F286" s="1">
        <v>1</v>
      </c>
      <c r="G286" s="1">
        <v>1</v>
      </c>
      <c r="H286" s="1"/>
      <c r="I286" s="1"/>
    </row>
    <row r="287" spans="1:9" x14ac:dyDescent="0.3">
      <c r="A287" t="s">
        <v>10</v>
      </c>
      <c r="B287" t="s">
        <v>314</v>
      </c>
      <c r="C287" s="1">
        <v>1</v>
      </c>
      <c r="D287" s="1">
        <v>13900000</v>
      </c>
      <c r="E287" s="1"/>
      <c r="F287" s="1">
        <v>1</v>
      </c>
      <c r="G287" s="1">
        <v>1</v>
      </c>
      <c r="H287" s="1"/>
      <c r="I287" s="1"/>
    </row>
    <row r="288" spans="1:9" x14ac:dyDescent="0.3">
      <c r="A288" t="s">
        <v>10</v>
      </c>
      <c r="B288" t="s">
        <v>315</v>
      </c>
      <c r="C288" s="1">
        <v>6</v>
      </c>
      <c r="D288" s="1">
        <v>17100000</v>
      </c>
      <c r="E288" s="1"/>
      <c r="F288" s="1">
        <v>1</v>
      </c>
      <c r="G288" s="1">
        <v>1</v>
      </c>
      <c r="H288" s="1"/>
      <c r="I288" s="1">
        <v>7</v>
      </c>
    </row>
    <row r="289" spans="1:9" x14ac:dyDescent="0.3">
      <c r="A289" t="s">
        <v>10</v>
      </c>
      <c r="B289" t="s">
        <v>316</v>
      </c>
      <c r="C289" s="1"/>
      <c r="D289" s="1">
        <v>22000000</v>
      </c>
      <c r="E289" s="1"/>
      <c r="F289" s="1"/>
      <c r="G289" s="1"/>
      <c r="H289" s="1"/>
      <c r="I289" s="1"/>
    </row>
    <row r="290" spans="1:9" x14ac:dyDescent="0.3">
      <c r="A290" t="s">
        <v>10</v>
      </c>
      <c r="B290" t="s">
        <v>317</v>
      </c>
      <c r="C290" s="1">
        <v>2</v>
      </c>
      <c r="D290" s="1">
        <v>2900000</v>
      </c>
      <c r="E290" s="1"/>
      <c r="F290" s="1"/>
      <c r="G290" s="1"/>
      <c r="H290" s="1"/>
      <c r="I290" s="1"/>
    </row>
    <row r="291" spans="1:9" x14ac:dyDescent="0.3">
      <c r="A291" t="s">
        <v>10</v>
      </c>
      <c r="B291" t="s">
        <v>318</v>
      </c>
      <c r="C291" s="1"/>
      <c r="D291" s="1">
        <v>2600000</v>
      </c>
      <c r="E291" s="1"/>
      <c r="F291" s="1"/>
      <c r="G291" s="1">
        <v>1</v>
      </c>
      <c r="H291" s="1"/>
      <c r="I291" s="1"/>
    </row>
    <row r="292" spans="1:9" x14ac:dyDescent="0.3">
      <c r="A292" t="s">
        <v>10</v>
      </c>
      <c r="B292" t="s">
        <v>319</v>
      </c>
      <c r="C292" s="1"/>
      <c r="D292" s="1">
        <v>2900000</v>
      </c>
      <c r="E292" s="1"/>
      <c r="F292" s="1">
        <v>1</v>
      </c>
      <c r="G292" s="1">
        <v>1</v>
      </c>
      <c r="H292" s="1"/>
      <c r="I292" s="1"/>
    </row>
    <row r="293" spans="1:9" x14ac:dyDescent="0.3">
      <c r="A293" t="s">
        <v>10</v>
      </c>
      <c r="B293" t="s">
        <v>320</v>
      </c>
      <c r="C293" s="1"/>
      <c r="D293" s="1">
        <v>2600000</v>
      </c>
      <c r="E293" s="1"/>
      <c r="F293" s="1"/>
      <c r="G293" s="1">
        <v>1</v>
      </c>
      <c r="H293" s="1"/>
      <c r="I293" s="1"/>
    </row>
    <row r="294" spans="1:9" x14ac:dyDescent="0.3">
      <c r="A294" t="s">
        <v>10</v>
      </c>
      <c r="B294" t="s">
        <v>321</v>
      </c>
      <c r="C294" s="1"/>
      <c r="D294" s="1">
        <v>3900000</v>
      </c>
      <c r="E294" s="1"/>
      <c r="F294" s="1"/>
      <c r="G294" s="1">
        <v>1</v>
      </c>
      <c r="H294" s="1"/>
      <c r="I294" s="1"/>
    </row>
    <row r="295" spans="1:9" x14ac:dyDescent="0.3">
      <c r="A295" t="s">
        <v>10</v>
      </c>
      <c r="B295" t="s">
        <v>322</v>
      </c>
      <c r="C295" s="1">
        <v>1</v>
      </c>
      <c r="D295" s="1">
        <v>4700000</v>
      </c>
      <c r="E295" s="1"/>
      <c r="F295" s="1"/>
      <c r="G295" s="1"/>
      <c r="H295" s="1"/>
      <c r="I295" s="1"/>
    </row>
    <row r="296" spans="1:9" x14ac:dyDescent="0.3">
      <c r="A296" t="s">
        <v>10</v>
      </c>
      <c r="B296" t="s">
        <v>323</v>
      </c>
      <c r="C296" s="1">
        <v>49</v>
      </c>
      <c r="D296" s="1">
        <v>3100000</v>
      </c>
      <c r="E296" s="1"/>
      <c r="F296" s="1">
        <v>1</v>
      </c>
      <c r="G296" s="1">
        <v>0</v>
      </c>
      <c r="H296" s="1"/>
      <c r="I296" s="1"/>
    </row>
    <row r="297" spans="1:9" x14ac:dyDescent="0.3">
      <c r="A297" t="s">
        <v>10</v>
      </c>
      <c r="B297" t="s">
        <v>324</v>
      </c>
      <c r="C297" s="1">
        <v>1</v>
      </c>
      <c r="D297" s="1">
        <v>3900000</v>
      </c>
      <c r="E297" s="1"/>
      <c r="F297" s="1"/>
      <c r="G297" s="1"/>
      <c r="H297" s="1"/>
      <c r="I297" s="1"/>
    </row>
    <row r="298" spans="1:9" x14ac:dyDescent="0.3">
      <c r="A298" t="s">
        <v>10</v>
      </c>
      <c r="B298" t="s">
        <v>325</v>
      </c>
      <c r="C298" s="1">
        <v>4</v>
      </c>
      <c r="D298" s="1">
        <v>4200000</v>
      </c>
      <c r="E298" s="1"/>
      <c r="F298" s="1">
        <v>-1</v>
      </c>
      <c r="G298" s="1">
        <v>0</v>
      </c>
      <c r="H298" s="1"/>
      <c r="I298" s="1"/>
    </row>
    <row r="299" spans="1:9" x14ac:dyDescent="0.3">
      <c r="A299" t="s">
        <v>10</v>
      </c>
      <c r="B299" t="s">
        <v>326</v>
      </c>
      <c r="C299" s="1">
        <v>2</v>
      </c>
      <c r="D299" s="1">
        <v>4200000</v>
      </c>
      <c r="E299" s="1"/>
      <c r="F299" s="1"/>
      <c r="G299" s="1"/>
      <c r="H299" s="1"/>
      <c r="I299" s="1"/>
    </row>
    <row r="300" spans="1:9" x14ac:dyDescent="0.3">
      <c r="A300" t="s">
        <v>10</v>
      </c>
      <c r="B300" t="s">
        <v>327</v>
      </c>
      <c r="C300" s="1">
        <v>2</v>
      </c>
      <c r="D300" s="1">
        <v>5500000</v>
      </c>
      <c r="E300" s="1"/>
      <c r="F300" s="1"/>
      <c r="G300" s="1">
        <v>-1</v>
      </c>
      <c r="H300" s="1"/>
      <c r="I300" s="1"/>
    </row>
    <row r="301" spans="1:9" x14ac:dyDescent="0.3">
      <c r="A301" t="s">
        <v>10</v>
      </c>
      <c r="B301" t="s">
        <v>328</v>
      </c>
      <c r="C301" s="1"/>
      <c r="D301" s="1">
        <v>4700000</v>
      </c>
      <c r="E301" s="1"/>
      <c r="F301" s="1">
        <v>1</v>
      </c>
      <c r="G301" s="1">
        <v>1</v>
      </c>
      <c r="H301" s="1"/>
      <c r="I301" s="1"/>
    </row>
    <row r="302" spans="1:9" x14ac:dyDescent="0.3">
      <c r="A302" t="s">
        <v>10</v>
      </c>
      <c r="B302" t="s">
        <v>329</v>
      </c>
      <c r="C302" s="1">
        <v>1</v>
      </c>
      <c r="D302" s="1">
        <v>4900000</v>
      </c>
      <c r="E302" s="1"/>
      <c r="F302" s="1"/>
      <c r="G302" s="1">
        <v>1</v>
      </c>
      <c r="H302" s="1"/>
      <c r="I302" s="1"/>
    </row>
    <row r="303" spans="1:9" x14ac:dyDescent="0.3">
      <c r="A303" t="s">
        <v>10</v>
      </c>
      <c r="B303" t="s">
        <v>330</v>
      </c>
      <c r="C303" s="1">
        <v>1</v>
      </c>
      <c r="D303" s="1">
        <v>4500000</v>
      </c>
      <c r="E303" s="1"/>
      <c r="F303" s="1"/>
      <c r="G303" s="1"/>
      <c r="H303" s="1"/>
      <c r="I303" s="1"/>
    </row>
    <row r="304" spans="1:9" x14ac:dyDescent="0.3">
      <c r="A304" t="s">
        <v>10</v>
      </c>
      <c r="B304" t="s">
        <v>331</v>
      </c>
      <c r="C304" s="1"/>
      <c r="D304" s="1">
        <v>5800000</v>
      </c>
      <c r="E304" s="1"/>
      <c r="F304" s="1"/>
      <c r="G304" s="1">
        <v>1</v>
      </c>
      <c r="H304" s="1"/>
      <c r="I304" s="1"/>
    </row>
    <row r="305" spans="1:9" x14ac:dyDescent="0.3">
      <c r="A305" t="s">
        <v>10</v>
      </c>
      <c r="B305" t="s">
        <v>332</v>
      </c>
      <c r="C305" s="1"/>
      <c r="D305" s="1">
        <v>5500000</v>
      </c>
      <c r="E305" s="1"/>
      <c r="F305" s="1"/>
      <c r="G305" s="1"/>
      <c r="H305" s="1"/>
      <c r="I305" s="1"/>
    </row>
    <row r="306" spans="1:9" x14ac:dyDescent="0.3">
      <c r="A306" t="s">
        <v>10</v>
      </c>
      <c r="B306" t="s">
        <v>333</v>
      </c>
      <c r="C306" s="1">
        <v>1</v>
      </c>
      <c r="D306" s="1">
        <v>7100000</v>
      </c>
      <c r="E306" s="1">
        <v>1</v>
      </c>
      <c r="F306" s="1">
        <v>1</v>
      </c>
      <c r="G306" s="1">
        <v>1</v>
      </c>
      <c r="H306" s="1"/>
      <c r="I306" s="1"/>
    </row>
    <row r="307" spans="1:9" x14ac:dyDescent="0.3">
      <c r="A307" t="s">
        <v>10</v>
      </c>
      <c r="B307" t="s">
        <v>334</v>
      </c>
      <c r="C307" s="1"/>
      <c r="D307" s="1">
        <v>7300000</v>
      </c>
      <c r="E307" s="1"/>
      <c r="F307" s="1"/>
      <c r="G307" s="1">
        <v>1</v>
      </c>
      <c r="H307" s="1"/>
      <c r="I307" s="1"/>
    </row>
    <row r="308" spans="1:9" x14ac:dyDescent="0.3">
      <c r="A308" t="s">
        <v>10</v>
      </c>
      <c r="B308" t="s">
        <v>335</v>
      </c>
      <c r="C308" s="1"/>
      <c r="D308" s="1">
        <v>6200000</v>
      </c>
      <c r="E308" s="1"/>
      <c r="F308" s="1"/>
      <c r="G308" s="1">
        <v>1</v>
      </c>
      <c r="H308" s="1"/>
      <c r="I308" s="1"/>
    </row>
    <row r="309" spans="1:9" x14ac:dyDescent="0.3">
      <c r="A309" t="s">
        <v>10</v>
      </c>
      <c r="B309" t="s">
        <v>336</v>
      </c>
      <c r="C309" s="1">
        <v>3</v>
      </c>
      <c r="D309" s="1">
        <v>8000000</v>
      </c>
      <c r="E309" s="1"/>
      <c r="F309" s="1"/>
      <c r="G309" s="1">
        <v>1</v>
      </c>
      <c r="H309" s="1"/>
      <c r="I309" s="1"/>
    </row>
    <row r="310" spans="1:9" x14ac:dyDescent="0.3">
      <c r="A310" t="s">
        <v>10</v>
      </c>
      <c r="B310" t="s">
        <v>337</v>
      </c>
      <c r="C310" s="1"/>
      <c r="D310" s="1">
        <v>6200000</v>
      </c>
      <c r="E310" s="1"/>
      <c r="F310" s="1"/>
      <c r="G310" s="1"/>
      <c r="H310" s="1"/>
      <c r="I310" s="1"/>
    </row>
    <row r="311" spans="1:9" x14ac:dyDescent="0.3">
      <c r="A311" t="s">
        <v>10</v>
      </c>
      <c r="B311" t="s">
        <v>338</v>
      </c>
      <c r="C311" s="1"/>
      <c r="D311" s="1">
        <v>7300000</v>
      </c>
      <c r="E311" s="1"/>
      <c r="F311" s="1"/>
      <c r="G311" s="1">
        <v>1</v>
      </c>
      <c r="H311" s="1"/>
      <c r="I311" s="1"/>
    </row>
    <row r="312" spans="1:9" x14ac:dyDescent="0.3">
      <c r="A312" t="s">
        <v>10</v>
      </c>
      <c r="B312" t="s">
        <v>339</v>
      </c>
      <c r="C312" s="1"/>
      <c r="D312" s="1">
        <v>5900000</v>
      </c>
      <c r="E312" s="1"/>
      <c r="F312" s="1">
        <v>1</v>
      </c>
      <c r="G312" s="1">
        <v>1</v>
      </c>
      <c r="H312" s="1"/>
      <c r="I312" s="1"/>
    </row>
    <row r="313" spans="1:9" x14ac:dyDescent="0.3">
      <c r="A313" t="s">
        <v>10</v>
      </c>
      <c r="B313" t="s">
        <v>340</v>
      </c>
      <c r="C313" s="1">
        <v>2</v>
      </c>
      <c r="D313" s="1">
        <v>5900000</v>
      </c>
      <c r="E313" s="1"/>
      <c r="F313" s="1">
        <v>0</v>
      </c>
      <c r="G313" s="1">
        <v>1</v>
      </c>
      <c r="H313" s="1"/>
      <c r="I313" s="1"/>
    </row>
    <row r="314" spans="1:9" x14ac:dyDescent="0.3">
      <c r="A314" t="s">
        <v>10</v>
      </c>
      <c r="B314" t="s">
        <v>341</v>
      </c>
      <c r="C314" s="1">
        <v>2</v>
      </c>
      <c r="D314" s="1">
        <v>10900000</v>
      </c>
      <c r="E314" s="1"/>
      <c r="F314" s="1"/>
      <c r="G314" s="1"/>
      <c r="H314" s="1">
        <v>1</v>
      </c>
      <c r="I314" s="1">
        <v>1</v>
      </c>
    </row>
    <row r="315" spans="1:9" x14ac:dyDescent="0.3">
      <c r="A315" t="s">
        <v>10</v>
      </c>
      <c r="B315" t="s">
        <v>342</v>
      </c>
      <c r="C315" s="1">
        <v>9</v>
      </c>
      <c r="D315" s="1">
        <v>13500000</v>
      </c>
      <c r="E315" s="1"/>
      <c r="F315" s="1">
        <v>1</v>
      </c>
      <c r="G315" s="1">
        <v>1</v>
      </c>
      <c r="H315" s="1"/>
      <c r="I315" s="1"/>
    </row>
    <row r="316" spans="1:9" x14ac:dyDescent="0.3">
      <c r="A316" t="s">
        <v>10</v>
      </c>
      <c r="B316" t="s">
        <v>343</v>
      </c>
      <c r="C316" s="1">
        <v>8</v>
      </c>
      <c r="D316" s="1">
        <v>2950000</v>
      </c>
      <c r="E316" s="1">
        <v>1</v>
      </c>
      <c r="F316" s="1">
        <v>1</v>
      </c>
      <c r="G316" s="1">
        <v>1</v>
      </c>
      <c r="H316" s="1"/>
      <c r="I316" s="1">
        <v>12</v>
      </c>
    </row>
    <row r="317" spans="1:9" x14ac:dyDescent="0.3">
      <c r="A317" t="s">
        <v>10</v>
      </c>
      <c r="B317" t="s">
        <v>344</v>
      </c>
      <c r="C317" s="1">
        <v>5</v>
      </c>
      <c r="D317" s="1">
        <v>2950000</v>
      </c>
      <c r="E317" s="1">
        <v>1</v>
      </c>
      <c r="F317" s="1">
        <v>1</v>
      </c>
      <c r="G317" s="1">
        <v>1</v>
      </c>
      <c r="H317" s="1"/>
      <c r="I317" s="1">
        <v>8</v>
      </c>
    </row>
    <row r="318" spans="1:9" x14ac:dyDescent="0.3">
      <c r="A318" t="s">
        <v>10</v>
      </c>
      <c r="B318" t="s">
        <v>140</v>
      </c>
      <c r="C318" s="1"/>
      <c r="D318" s="1">
        <v>15500000</v>
      </c>
      <c r="E318" s="1"/>
      <c r="F318" s="1"/>
      <c r="G318" s="1"/>
      <c r="H318" s="1"/>
      <c r="I318" s="1"/>
    </row>
    <row r="319" spans="1:9" x14ac:dyDescent="0.3">
      <c r="A319" t="s">
        <v>10</v>
      </c>
      <c r="B319" t="s">
        <v>345</v>
      </c>
      <c r="C319" s="1"/>
      <c r="D319" s="1">
        <v>15500000</v>
      </c>
      <c r="E319" s="1"/>
      <c r="F319" s="1"/>
      <c r="G319" s="1"/>
      <c r="H319" s="1"/>
      <c r="I319" s="1"/>
    </row>
    <row r="320" spans="1:9" x14ac:dyDescent="0.3">
      <c r="A320" t="s">
        <v>10</v>
      </c>
      <c r="B320" t="s">
        <v>346</v>
      </c>
      <c r="C320" s="1">
        <v>1</v>
      </c>
      <c r="D320" s="1">
        <v>9500000</v>
      </c>
      <c r="E320" s="1">
        <v>1</v>
      </c>
      <c r="F320" s="1">
        <v>1</v>
      </c>
      <c r="G320" s="1">
        <v>1</v>
      </c>
      <c r="H320" s="1"/>
      <c r="I320" s="1"/>
    </row>
    <row r="321" spans="1:9" x14ac:dyDescent="0.3">
      <c r="A321" t="s">
        <v>10</v>
      </c>
      <c r="B321" t="s">
        <v>347</v>
      </c>
      <c r="C321" s="1"/>
      <c r="D321" s="1">
        <v>14500000</v>
      </c>
      <c r="E321" s="1"/>
      <c r="F321" s="1"/>
      <c r="G321" s="1">
        <v>1</v>
      </c>
      <c r="H321" s="1"/>
      <c r="I321" s="1"/>
    </row>
    <row r="322" spans="1:9" x14ac:dyDescent="0.3">
      <c r="A322" t="s">
        <v>10</v>
      </c>
      <c r="B322" t="s">
        <v>80</v>
      </c>
      <c r="C322" s="1"/>
      <c r="D322" s="1">
        <v>9000000</v>
      </c>
      <c r="E322" s="1"/>
      <c r="F322" s="1"/>
      <c r="G322" s="1"/>
      <c r="H322" s="1"/>
      <c r="I322" s="1"/>
    </row>
    <row r="323" spans="1:9" x14ac:dyDescent="0.3">
      <c r="A323" t="s">
        <v>10</v>
      </c>
      <c r="B323" t="s">
        <v>58</v>
      </c>
      <c r="C323" s="1">
        <v>2</v>
      </c>
      <c r="D323" s="1">
        <v>18500000</v>
      </c>
      <c r="E323" s="1"/>
      <c r="F323" s="1"/>
      <c r="G323" s="1">
        <v>1</v>
      </c>
      <c r="H323" s="1"/>
      <c r="I323" s="1"/>
    </row>
    <row r="324" spans="1:9" x14ac:dyDescent="0.3">
      <c r="A324" t="s">
        <v>10</v>
      </c>
      <c r="B324" t="s">
        <v>348</v>
      </c>
      <c r="C324" s="1"/>
      <c r="D324" s="1">
        <v>14500000</v>
      </c>
      <c r="E324" s="1"/>
      <c r="F324" s="1"/>
      <c r="G324" s="1"/>
      <c r="H324" s="1"/>
      <c r="I324" s="1"/>
    </row>
    <row r="325" spans="1:9" x14ac:dyDescent="0.3">
      <c r="A325" t="s">
        <v>10</v>
      </c>
      <c r="B325" t="s">
        <v>349</v>
      </c>
      <c r="C325" s="1">
        <v>8</v>
      </c>
      <c r="D325" s="1">
        <v>12200000</v>
      </c>
      <c r="E325" s="1"/>
      <c r="F325" s="1"/>
      <c r="G325" s="1"/>
      <c r="H325" s="1"/>
      <c r="I325" s="1">
        <v>2</v>
      </c>
    </row>
    <row r="326" spans="1:9" x14ac:dyDescent="0.3">
      <c r="A326" t="s">
        <v>10</v>
      </c>
      <c r="B326" t="s">
        <v>34</v>
      </c>
      <c r="C326" s="1"/>
      <c r="D326" s="1">
        <v>10700000</v>
      </c>
      <c r="E326" s="1"/>
      <c r="F326" s="1"/>
      <c r="G326" s="1"/>
      <c r="H326" s="1"/>
      <c r="I326" s="1"/>
    </row>
    <row r="327" spans="1:9" x14ac:dyDescent="0.3">
      <c r="A327" t="s">
        <v>10</v>
      </c>
      <c r="B327" t="s">
        <v>350</v>
      </c>
      <c r="C327" s="1">
        <v>1</v>
      </c>
      <c r="D327" s="1">
        <v>15000000</v>
      </c>
      <c r="E327" s="1"/>
      <c r="F327" s="1"/>
      <c r="G327" s="1"/>
      <c r="H327" s="1"/>
      <c r="I327" s="1"/>
    </row>
    <row r="328" spans="1:9" x14ac:dyDescent="0.3">
      <c r="A328" t="s">
        <v>10</v>
      </c>
      <c r="B328" t="s">
        <v>115</v>
      </c>
      <c r="C328" s="1"/>
      <c r="D328" s="1">
        <v>20800000</v>
      </c>
      <c r="E328" s="1"/>
      <c r="F328" s="1"/>
      <c r="G328" s="1">
        <v>1</v>
      </c>
      <c r="H328" s="1"/>
      <c r="I328" s="1"/>
    </row>
    <row r="329" spans="1:9" x14ac:dyDescent="0.3">
      <c r="A329" t="s">
        <v>10</v>
      </c>
      <c r="B329" t="s">
        <v>351</v>
      </c>
      <c r="C329" s="1">
        <v>3</v>
      </c>
      <c r="D329" s="1">
        <v>21000000</v>
      </c>
      <c r="E329" s="1"/>
      <c r="F329" s="1"/>
      <c r="G329" s="1"/>
      <c r="H329" s="1"/>
      <c r="I329" s="1"/>
    </row>
    <row r="330" spans="1:9" x14ac:dyDescent="0.3">
      <c r="A330" t="s">
        <v>10</v>
      </c>
      <c r="B330" t="s">
        <v>352</v>
      </c>
      <c r="C330" s="1"/>
      <c r="D330" s="1">
        <v>23500000</v>
      </c>
      <c r="E330" s="1"/>
      <c r="F330" s="1"/>
      <c r="G330" s="1"/>
      <c r="H330" s="1"/>
      <c r="I330" s="1"/>
    </row>
    <row r="331" spans="1:9" x14ac:dyDescent="0.3">
      <c r="A331" t="s">
        <v>10</v>
      </c>
      <c r="B331" t="s">
        <v>353</v>
      </c>
      <c r="C331" s="1">
        <v>5</v>
      </c>
      <c r="D331" s="1">
        <v>20500000</v>
      </c>
      <c r="E331" s="1"/>
      <c r="F331" s="1"/>
      <c r="G331" s="1"/>
      <c r="H331" s="1"/>
      <c r="I331" s="1"/>
    </row>
    <row r="332" spans="1:9" x14ac:dyDescent="0.3">
      <c r="A332" t="s">
        <v>10</v>
      </c>
      <c r="B332" t="s">
        <v>354</v>
      </c>
      <c r="C332" s="1"/>
      <c r="D332" s="1">
        <v>18000000</v>
      </c>
      <c r="E332" s="1"/>
      <c r="F332" s="1">
        <v>1</v>
      </c>
      <c r="G332" s="1">
        <v>1</v>
      </c>
      <c r="H332" s="1"/>
      <c r="I332" s="1"/>
    </row>
    <row r="333" spans="1:9" x14ac:dyDescent="0.3">
      <c r="A333" t="s">
        <v>10</v>
      </c>
      <c r="B333" t="s">
        <v>261</v>
      </c>
      <c r="C333" s="1"/>
      <c r="D333" s="1">
        <v>26500000</v>
      </c>
      <c r="E333" s="1"/>
      <c r="F333" s="1">
        <v>1</v>
      </c>
      <c r="G333" s="1">
        <v>1</v>
      </c>
      <c r="H333" s="1"/>
      <c r="I333" s="1"/>
    </row>
    <row r="334" spans="1:9" x14ac:dyDescent="0.3">
      <c r="A334" t="s">
        <v>10</v>
      </c>
      <c r="B334" t="s">
        <v>355</v>
      </c>
      <c r="C334" s="1"/>
      <c r="D334" s="1">
        <v>23500000</v>
      </c>
      <c r="E334" s="1"/>
      <c r="F334" s="1"/>
      <c r="G334" s="1"/>
      <c r="H334" s="1"/>
      <c r="I334" s="1"/>
    </row>
    <row r="335" spans="1:9" x14ac:dyDescent="0.3">
      <c r="A335" t="s">
        <v>10</v>
      </c>
      <c r="B335" t="s">
        <v>355</v>
      </c>
      <c r="C335" s="1"/>
      <c r="D335" s="1">
        <v>23500000</v>
      </c>
      <c r="E335" s="1"/>
      <c r="F335" s="1"/>
      <c r="G335" s="1"/>
      <c r="H335" s="1"/>
      <c r="I335" s="1"/>
    </row>
    <row r="336" spans="1:9" x14ac:dyDescent="0.3">
      <c r="A336" t="s">
        <v>10</v>
      </c>
      <c r="B336" t="s">
        <v>150</v>
      </c>
      <c r="C336" s="1">
        <v>1</v>
      </c>
      <c r="D336" s="1">
        <v>25500000</v>
      </c>
      <c r="E336" s="1">
        <v>1</v>
      </c>
      <c r="F336" s="1">
        <v>1</v>
      </c>
      <c r="G336" s="1">
        <v>1</v>
      </c>
      <c r="H336" s="1"/>
      <c r="I336" s="1"/>
    </row>
    <row r="337" spans="1:9" x14ac:dyDescent="0.3">
      <c r="A337" t="s">
        <v>215</v>
      </c>
      <c r="B337" t="s">
        <v>356</v>
      </c>
      <c r="C337" s="1"/>
      <c r="D337" s="1">
        <v>220000</v>
      </c>
      <c r="E337" s="1"/>
      <c r="F337" s="1"/>
      <c r="G337" s="1"/>
      <c r="H337" s="1"/>
      <c r="I337" s="1"/>
    </row>
    <row r="338" spans="1:9" x14ac:dyDescent="0.3">
      <c r="A338" t="s">
        <v>215</v>
      </c>
      <c r="B338" t="s">
        <v>216</v>
      </c>
      <c r="C338" s="1"/>
      <c r="D338" s="1">
        <v>1600000</v>
      </c>
      <c r="E338" s="1"/>
      <c r="F338" s="1"/>
      <c r="G338" s="1"/>
      <c r="H338" s="1"/>
      <c r="I338" s="1"/>
    </row>
    <row r="339" spans="1:9" x14ac:dyDescent="0.3">
      <c r="A339" t="s">
        <v>215</v>
      </c>
      <c r="B339" t="s">
        <v>357</v>
      </c>
      <c r="C339" s="1"/>
      <c r="D339" s="1">
        <v>650000</v>
      </c>
      <c r="E339" s="1"/>
      <c r="F339" s="1"/>
      <c r="G339" s="1"/>
      <c r="H339" s="1"/>
      <c r="I339" s="1"/>
    </row>
    <row r="340" spans="1:9" x14ac:dyDescent="0.3">
      <c r="A340" t="s">
        <v>215</v>
      </c>
      <c r="B340" t="s">
        <v>23</v>
      </c>
      <c r="C340" s="1">
        <v>2</v>
      </c>
      <c r="D340" s="1">
        <v>1090000</v>
      </c>
      <c r="E340" s="1"/>
      <c r="F340" s="1">
        <v>1</v>
      </c>
      <c r="G340" s="1">
        <v>1</v>
      </c>
      <c r="H340" s="1"/>
      <c r="I340" s="1"/>
    </row>
    <row r="341" spans="1:9" x14ac:dyDescent="0.3">
      <c r="A341" t="s">
        <v>264</v>
      </c>
      <c r="B341" t="s">
        <v>358</v>
      </c>
      <c r="C341" s="1"/>
      <c r="D341" s="1">
        <v>10000000</v>
      </c>
      <c r="E341" s="1"/>
      <c r="F341" s="1"/>
      <c r="G341" s="1"/>
      <c r="H341" s="1"/>
      <c r="I341" s="1"/>
    </row>
    <row r="342" spans="1:9" x14ac:dyDescent="0.3">
      <c r="A342" t="s">
        <v>264</v>
      </c>
      <c r="B342" t="s">
        <v>154</v>
      </c>
      <c r="C342" s="1"/>
      <c r="D342" s="1">
        <v>16900000</v>
      </c>
      <c r="E342" s="1"/>
      <c r="F342" s="1">
        <v>1</v>
      </c>
      <c r="G342" s="1">
        <v>1</v>
      </c>
      <c r="H342" s="1"/>
      <c r="I342" s="1"/>
    </row>
    <row r="343" spans="1:9" x14ac:dyDescent="0.3">
      <c r="A343" t="s">
        <v>264</v>
      </c>
      <c r="B343" t="s">
        <v>359</v>
      </c>
      <c r="C343" s="1"/>
      <c r="D343" s="1">
        <v>14100000</v>
      </c>
      <c r="E343" s="1"/>
      <c r="F343" s="1"/>
      <c r="G343" s="1"/>
      <c r="H343" s="1"/>
      <c r="I343" s="1"/>
    </row>
    <row r="344" spans="1:9" x14ac:dyDescent="0.3">
      <c r="A344" t="s">
        <v>264</v>
      </c>
      <c r="B344" t="s">
        <v>119</v>
      </c>
      <c r="C344" s="1"/>
      <c r="D344" s="1">
        <v>27000000</v>
      </c>
      <c r="E344" s="1"/>
      <c r="F344" s="1"/>
      <c r="G344" s="1"/>
      <c r="H344" s="1"/>
      <c r="I344" s="1"/>
    </row>
    <row r="345" spans="1:9" x14ac:dyDescent="0.3">
      <c r="A345" t="s">
        <v>264</v>
      </c>
      <c r="B345" t="s">
        <v>360</v>
      </c>
      <c r="C345" s="1"/>
      <c r="D345" s="1">
        <v>17000000</v>
      </c>
      <c r="E345" s="1"/>
      <c r="F345" s="1">
        <v>1</v>
      </c>
      <c r="G345" s="1">
        <v>1</v>
      </c>
      <c r="H345" s="1"/>
      <c r="I345" s="1"/>
    </row>
    <row r="346" spans="1:9" x14ac:dyDescent="0.3">
      <c r="A346" t="s">
        <v>264</v>
      </c>
      <c r="B346" t="s">
        <v>361</v>
      </c>
      <c r="C346" s="1">
        <v>6</v>
      </c>
      <c r="D346" s="1">
        <v>19000000</v>
      </c>
      <c r="E346" s="1"/>
      <c r="F346" s="1"/>
      <c r="G346" s="1"/>
      <c r="H346" s="1"/>
      <c r="I346" s="1"/>
    </row>
    <row r="347" spans="1:9" x14ac:dyDescent="0.3">
      <c r="A347" t="s">
        <v>264</v>
      </c>
      <c r="B347" t="s">
        <v>362</v>
      </c>
      <c r="C347" s="1"/>
      <c r="D347" s="1">
        <v>19000000</v>
      </c>
      <c r="E347" s="1"/>
      <c r="F347" s="1">
        <v>1</v>
      </c>
      <c r="G347" s="1">
        <v>1</v>
      </c>
      <c r="H347" s="1"/>
      <c r="I347" s="1"/>
    </row>
    <row r="348" spans="1:9" x14ac:dyDescent="0.3">
      <c r="A348" t="s">
        <v>264</v>
      </c>
      <c r="B348" t="s">
        <v>363</v>
      </c>
      <c r="C348" s="1">
        <v>31</v>
      </c>
      <c r="D348" s="1">
        <v>20000000</v>
      </c>
      <c r="E348" s="1"/>
      <c r="F348" s="1">
        <v>1</v>
      </c>
      <c r="G348" s="1">
        <v>1</v>
      </c>
      <c r="H348" s="1"/>
      <c r="I348" s="1"/>
    </row>
    <row r="349" spans="1:9" x14ac:dyDescent="0.3">
      <c r="A349" t="s">
        <v>125</v>
      </c>
      <c r="B349" t="s">
        <v>198</v>
      </c>
      <c r="C349" s="1">
        <v>1</v>
      </c>
      <c r="D349" s="1">
        <v>1690000</v>
      </c>
      <c r="E349" s="1"/>
      <c r="F349" s="1"/>
      <c r="G349" s="1"/>
      <c r="H349" s="1"/>
      <c r="I349" s="1"/>
    </row>
    <row r="350" spans="1:9" x14ac:dyDescent="0.3">
      <c r="A350" t="s">
        <v>125</v>
      </c>
      <c r="B350" t="s">
        <v>364</v>
      </c>
      <c r="C350" s="1"/>
      <c r="D350" s="1">
        <v>800000</v>
      </c>
      <c r="E350" s="1"/>
      <c r="F350" s="1"/>
      <c r="G350" s="1">
        <v>1</v>
      </c>
      <c r="H350" s="1"/>
      <c r="I350" s="1"/>
    </row>
    <row r="351" spans="1:9" x14ac:dyDescent="0.3">
      <c r="A351" t="s">
        <v>125</v>
      </c>
      <c r="B351" t="s">
        <v>165</v>
      </c>
      <c r="C351" s="1">
        <v>3</v>
      </c>
      <c r="D351" s="1">
        <v>1200000</v>
      </c>
      <c r="E351" s="1"/>
      <c r="F351" s="1"/>
      <c r="G351" s="1">
        <v>0</v>
      </c>
      <c r="H351" s="1"/>
      <c r="I351" s="1"/>
    </row>
    <row r="352" spans="1:9" x14ac:dyDescent="0.3">
      <c r="A352" t="s">
        <v>125</v>
      </c>
      <c r="B352" t="s">
        <v>365</v>
      </c>
      <c r="C352" s="1">
        <v>2</v>
      </c>
      <c r="D352" s="1">
        <v>1090000</v>
      </c>
      <c r="E352" s="1"/>
      <c r="F352" s="1"/>
      <c r="G352" s="1"/>
      <c r="H352" s="1"/>
      <c r="I352" s="1"/>
    </row>
    <row r="353" spans="1:9" x14ac:dyDescent="0.3">
      <c r="A353" t="s">
        <v>125</v>
      </c>
      <c r="B353" t="s">
        <v>366</v>
      </c>
      <c r="C353" s="1">
        <v>3</v>
      </c>
      <c r="D353" s="1">
        <v>2150000</v>
      </c>
      <c r="E353" s="1"/>
      <c r="F353" s="1">
        <v>1</v>
      </c>
      <c r="G353" s="1">
        <v>1</v>
      </c>
      <c r="H353" s="1"/>
      <c r="I353" s="1"/>
    </row>
    <row r="354" spans="1:9" x14ac:dyDescent="0.3">
      <c r="A354" t="s">
        <v>125</v>
      </c>
      <c r="B354" t="s">
        <v>367</v>
      </c>
      <c r="C354" s="1"/>
      <c r="D354" s="1">
        <v>1000000</v>
      </c>
      <c r="E354" s="1"/>
      <c r="F354" s="1"/>
      <c r="G354" s="1"/>
      <c r="H354" s="1"/>
      <c r="I354" s="1"/>
    </row>
    <row r="355" spans="1:9" x14ac:dyDescent="0.3">
      <c r="A355" t="s">
        <v>125</v>
      </c>
      <c r="B355" t="s">
        <v>267</v>
      </c>
      <c r="C355" s="1"/>
      <c r="D355" s="1">
        <v>1500000</v>
      </c>
      <c r="E355" s="1"/>
      <c r="F355" s="1">
        <v>1</v>
      </c>
      <c r="G355" s="1">
        <v>1</v>
      </c>
      <c r="H355" s="1"/>
      <c r="I355" s="1"/>
    </row>
    <row r="356" spans="1:9" x14ac:dyDescent="0.3">
      <c r="A356" t="s">
        <v>125</v>
      </c>
      <c r="B356" t="s">
        <v>218</v>
      </c>
      <c r="C356" s="1"/>
      <c r="D356" s="1">
        <v>2200000</v>
      </c>
      <c r="E356" s="1"/>
      <c r="F356" s="1"/>
      <c r="G356" s="1"/>
      <c r="H356" s="1"/>
      <c r="I356" s="1"/>
    </row>
    <row r="357" spans="1:9" x14ac:dyDescent="0.3">
      <c r="A357" t="s">
        <v>125</v>
      </c>
      <c r="B357" t="s">
        <v>268</v>
      </c>
      <c r="C357" s="1">
        <v>1</v>
      </c>
      <c r="D357" s="1">
        <v>2400000</v>
      </c>
      <c r="E357" s="1"/>
      <c r="F357" s="1"/>
      <c r="G357" s="1">
        <v>1</v>
      </c>
      <c r="H357" s="1"/>
      <c r="I357" s="1"/>
    </row>
    <row r="358" spans="1:9" x14ac:dyDescent="0.3">
      <c r="A358" t="s">
        <v>125</v>
      </c>
      <c r="B358" t="s">
        <v>268</v>
      </c>
      <c r="C358" s="1">
        <v>1</v>
      </c>
      <c r="D358" s="1">
        <v>2200000</v>
      </c>
      <c r="E358" s="1"/>
      <c r="F358" s="1"/>
      <c r="G358" s="1">
        <v>1</v>
      </c>
      <c r="H358" s="1"/>
      <c r="I358" s="1"/>
    </row>
    <row r="359" spans="1:9" x14ac:dyDescent="0.3">
      <c r="A359" t="s">
        <v>125</v>
      </c>
      <c r="B359" t="s">
        <v>368</v>
      </c>
      <c r="C359" s="1">
        <v>4</v>
      </c>
      <c r="D359" s="1">
        <v>2000000</v>
      </c>
      <c r="E359" s="1"/>
      <c r="F359" s="1"/>
      <c r="G359" s="1">
        <v>1</v>
      </c>
      <c r="H359" s="1"/>
      <c r="I359" s="1"/>
    </row>
    <row r="360" spans="1:9" x14ac:dyDescent="0.3">
      <c r="A360" t="s">
        <v>125</v>
      </c>
      <c r="B360" t="s">
        <v>126</v>
      </c>
      <c r="C360" s="1"/>
      <c r="D360" s="1">
        <v>2500000</v>
      </c>
      <c r="E360" s="1"/>
      <c r="F360" s="1"/>
      <c r="G360" s="1">
        <v>1</v>
      </c>
      <c r="H360" s="1"/>
      <c r="I360" s="1"/>
    </row>
    <row r="361" spans="1:9" x14ac:dyDescent="0.3">
      <c r="A361" t="s">
        <v>121</v>
      </c>
      <c r="B361" t="s">
        <v>369</v>
      </c>
      <c r="C361" s="1">
        <v>1</v>
      </c>
      <c r="D361" s="1">
        <v>5000000</v>
      </c>
      <c r="E361" s="1"/>
      <c r="F361" s="1"/>
      <c r="G361" s="1"/>
      <c r="H361" s="1"/>
      <c r="I361" s="1"/>
    </row>
    <row r="362" spans="1:9" x14ac:dyDescent="0.3">
      <c r="A362" t="s">
        <v>121</v>
      </c>
      <c r="B362" t="s">
        <v>370</v>
      </c>
      <c r="C362" s="1"/>
      <c r="D362" s="1">
        <v>3800000</v>
      </c>
      <c r="E362" s="1"/>
      <c r="F362" s="1"/>
      <c r="G362" s="1"/>
      <c r="H362" s="1"/>
      <c r="I362" s="1"/>
    </row>
    <row r="363" spans="1:9" x14ac:dyDescent="0.3">
      <c r="A363" t="s">
        <v>121</v>
      </c>
      <c r="B363" t="s">
        <v>371</v>
      </c>
      <c r="C363" s="1"/>
      <c r="D363" s="1">
        <v>4800000</v>
      </c>
      <c r="E363" s="1"/>
      <c r="F363" s="1"/>
      <c r="G363" s="1"/>
      <c r="H363" s="1"/>
      <c r="I363" s="1"/>
    </row>
    <row r="364" spans="1:9" x14ac:dyDescent="0.3">
      <c r="A364" t="s">
        <v>121</v>
      </c>
      <c r="B364" t="s">
        <v>226</v>
      </c>
      <c r="C364" s="1">
        <v>1</v>
      </c>
      <c r="D364" s="1">
        <v>6190000</v>
      </c>
      <c r="E364" s="1">
        <v>-1</v>
      </c>
      <c r="F364" s="1">
        <v>0</v>
      </c>
      <c r="G364" s="1">
        <v>1</v>
      </c>
      <c r="H364" s="1"/>
      <c r="I364" s="1"/>
    </row>
    <row r="365" spans="1:9" x14ac:dyDescent="0.3">
      <c r="A365" t="s">
        <v>121</v>
      </c>
      <c r="B365" t="s">
        <v>372</v>
      </c>
      <c r="C365" s="1"/>
      <c r="D365" s="1">
        <v>4000000</v>
      </c>
      <c r="E365" s="1"/>
      <c r="F365" s="1"/>
      <c r="G365" s="1"/>
      <c r="H365" s="1"/>
      <c r="I365" s="1"/>
    </row>
    <row r="366" spans="1:9" x14ac:dyDescent="0.3">
      <c r="A366" t="s">
        <v>175</v>
      </c>
      <c r="B366" t="s">
        <v>373</v>
      </c>
      <c r="C366" s="1"/>
      <c r="D366" s="1">
        <v>1600000</v>
      </c>
      <c r="E366" s="1"/>
      <c r="F366" s="1"/>
      <c r="G366" s="1"/>
      <c r="H366" s="1"/>
      <c r="I366" s="1"/>
    </row>
    <row r="367" spans="1:9" x14ac:dyDescent="0.3">
      <c r="A367" t="s">
        <v>175</v>
      </c>
      <c r="B367" t="s">
        <v>216</v>
      </c>
      <c r="C367" s="1"/>
      <c r="D367" s="1">
        <v>1300000</v>
      </c>
      <c r="E367" s="1"/>
      <c r="F367" s="1">
        <v>1</v>
      </c>
      <c r="G367" s="1">
        <v>1</v>
      </c>
      <c r="H367" s="1"/>
      <c r="I367" s="1"/>
    </row>
    <row r="368" spans="1:9" x14ac:dyDescent="0.3">
      <c r="A368" t="s">
        <v>175</v>
      </c>
      <c r="B368" t="s">
        <v>216</v>
      </c>
      <c r="C368" s="1"/>
      <c r="D368" s="1">
        <v>2500000</v>
      </c>
      <c r="E368" s="1"/>
      <c r="F368" s="1"/>
      <c r="G368" s="1"/>
      <c r="H368" s="1"/>
      <c r="I368" s="1"/>
    </row>
    <row r="369" spans="1:9" x14ac:dyDescent="0.3">
      <c r="A369" t="s">
        <v>175</v>
      </c>
      <c r="B369" t="s">
        <v>374</v>
      </c>
      <c r="C369" s="1"/>
      <c r="D369" s="1">
        <v>1800000</v>
      </c>
      <c r="E369" s="1"/>
      <c r="F369" s="1"/>
      <c r="G369" s="1"/>
      <c r="H369" s="1"/>
      <c r="I369" s="1"/>
    </row>
    <row r="370" spans="1:9" x14ac:dyDescent="0.3">
      <c r="A370" t="s">
        <v>175</v>
      </c>
      <c r="B370" t="s">
        <v>375</v>
      </c>
      <c r="C370" s="1"/>
      <c r="D370" s="1">
        <v>1900000</v>
      </c>
      <c r="E370" s="1"/>
      <c r="F370" s="1"/>
      <c r="G370" s="1"/>
      <c r="H370" s="1"/>
      <c r="I370" s="1"/>
    </row>
    <row r="371" spans="1:9" x14ac:dyDescent="0.3">
      <c r="A371" t="s">
        <v>175</v>
      </c>
      <c r="B371" t="s">
        <v>376</v>
      </c>
      <c r="C371" s="1">
        <v>2</v>
      </c>
      <c r="D371" s="1">
        <v>3200000</v>
      </c>
      <c r="E371" s="1"/>
      <c r="F371" s="1"/>
      <c r="G371" s="1">
        <v>1</v>
      </c>
      <c r="H371" s="1"/>
      <c r="I371" s="1"/>
    </row>
    <row r="372" spans="1:9" x14ac:dyDescent="0.3">
      <c r="A372" t="s">
        <v>175</v>
      </c>
      <c r="B372" t="s">
        <v>32</v>
      </c>
      <c r="C372" s="1">
        <v>3</v>
      </c>
      <c r="D372" s="1">
        <v>2990000</v>
      </c>
      <c r="E372" s="1"/>
      <c r="F372" s="1"/>
      <c r="G372" s="1">
        <v>1</v>
      </c>
      <c r="H372" s="1"/>
      <c r="I372" s="1"/>
    </row>
    <row r="373" spans="1:9" x14ac:dyDescent="0.3">
      <c r="A373" t="s">
        <v>175</v>
      </c>
      <c r="B373" t="s">
        <v>155</v>
      </c>
      <c r="C373" s="1"/>
      <c r="D373" s="1">
        <v>2690000</v>
      </c>
      <c r="E373" s="1"/>
      <c r="F373" s="1"/>
      <c r="G373" s="1"/>
      <c r="H373" s="1"/>
      <c r="I373" s="1"/>
    </row>
    <row r="374" spans="1:9" x14ac:dyDescent="0.3">
      <c r="A374" t="s">
        <v>175</v>
      </c>
      <c r="B374" t="s">
        <v>128</v>
      </c>
      <c r="C374" s="1">
        <v>1</v>
      </c>
      <c r="D374" s="1">
        <v>3890000</v>
      </c>
      <c r="E374" s="1"/>
      <c r="F374" s="1"/>
      <c r="G374" s="1">
        <v>1</v>
      </c>
      <c r="H374" s="1"/>
      <c r="I374" s="1"/>
    </row>
    <row r="375" spans="1:9" x14ac:dyDescent="0.3">
      <c r="A375" t="s">
        <v>175</v>
      </c>
      <c r="B375" t="s">
        <v>377</v>
      </c>
      <c r="C375" s="1"/>
      <c r="D375" s="1">
        <v>3200000</v>
      </c>
      <c r="E375" s="1"/>
      <c r="F375" s="1"/>
      <c r="G375" s="1"/>
      <c r="H375" s="1"/>
      <c r="I375" s="1"/>
    </row>
    <row r="376" spans="1:9" x14ac:dyDescent="0.3">
      <c r="A376" t="s">
        <v>175</v>
      </c>
      <c r="B376" t="s">
        <v>55</v>
      </c>
      <c r="C376" s="1"/>
      <c r="D376" s="1">
        <v>2190000</v>
      </c>
      <c r="E376" s="1"/>
      <c r="F376" s="1"/>
      <c r="G376" s="1">
        <v>1</v>
      </c>
      <c r="H376" s="1"/>
      <c r="I376" s="1"/>
    </row>
    <row r="377" spans="1:9" x14ac:dyDescent="0.3">
      <c r="A377" t="s">
        <v>175</v>
      </c>
      <c r="B377" t="s">
        <v>227</v>
      </c>
      <c r="C377" s="1">
        <v>4</v>
      </c>
      <c r="D377" s="1">
        <v>6290000</v>
      </c>
      <c r="E377" s="1">
        <v>1</v>
      </c>
      <c r="F377" s="1">
        <v>1</v>
      </c>
      <c r="G377" s="1">
        <v>1</v>
      </c>
      <c r="H377" s="1"/>
      <c r="I377" s="1"/>
    </row>
    <row r="378" spans="1:9" x14ac:dyDescent="0.3">
      <c r="A378" t="s">
        <v>96</v>
      </c>
      <c r="B378" t="s">
        <v>378</v>
      </c>
      <c r="C378" s="1">
        <v>1</v>
      </c>
      <c r="D378" s="1">
        <v>890000</v>
      </c>
      <c r="E378" s="1"/>
      <c r="F378" s="1"/>
      <c r="G378" s="1"/>
      <c r="H378" s="1"/>
      <c r="I378" s="1"/>
    </row>
    <row r="379" spans="1:9" x14ac:dyDescent="0.3">
      <c r="A379" t="s">
        <v>96</v>
      </c>
      <c r="B379" t="s">
        <v>379</v>
      </c>
      <c r="C379" s="1"/>
      <c r="D379" s="1">
        <v>1800000</v>
      </c>
      <c r="E379" s="1"/>
      <c r="F379" s="1">
        <v>1</v>
      </c>
      <c r="G379" s="1">
        <v>1</v>
      </c>
      <c r="H379" s="1"/>
      <c r="I379" s="1"/>
    </row>
    <row r="380" spans="1:9" x14ac:dyDescent="0.3">
      <c r="A380" t="s">
        <v>96</v>
      </c>
      <c r="B380" t="s">
        <v>380</v>
      </c>
      <c r="C380" s="1"/>
      <c r="D380" s="1">
        <v>1300000</v>
      </c>
      <c r="E380" s="1"/>
      <c r="F380" s="1"/>
      <c r="G380" s="1">
        <v>1</v>
      </c>
      <c r="H380" s="1"/>
      <c r="I380" s="1"/>
    </row>
    <row r="381" spans="1:9" x14ac:dyDescent="0.3">
      <c r="A381" t="s">
        <v>96</v>
      </c>
      <c r="B381" t="s">
        <v>381</v>
      </c>
      <c r="C381" s="1"/>
      <c r="D381" s="1">
        <v>2000000</v>
      </c>
      <c r="E381" s="1"/>
      <c r="F381" s="1"/>
      <c r="G381" s="1"/>
      <c r="H381" s="1"/>
      <c r="I381" s="1"/>
    </row>
    <row r="382" spans="1:9" x14ac:dyDescent="0.3">
      <c r="A382" t="s">
        <v>96</v>
      </c>
      <c r="B382" t="s">
        <v>382</v>
      </c>
      <c r="C382" s="1"/>
      <c r="D382" s="1">
        <v>2000000</v>
      </c>
      <c r="E382" s="1"/>
      <c r="F382" s="1"/>
      <c r="G382" s="1"/>
      <c r="H382" s="1"/>
      <c r="I382" s="1"/>
    </row>
    <row r="383" spans="1:9" x14ac:dyDescent="0.3">
      <c r="A383" t="s">
        <v>96</v>
      </c>
      <c r="B383" t="s">
        <v>383</v>
      </c>
      <c r="C383" s="1"/>
      <c r="D383" s="1">
        <v>2700000</v>
      </c>
      <c r="E383" s="1"/>
      <c r="F383" s="1"/>
      <c r="G383" s="1">
        <v>1</v>
      </c>
      <c r="H383" s="1"/>
      <c r="I383" s="1"/>
    </row>
    <row r="384" spans="1:9" x14ac:dyDescent="0.3">
      <c r="A384" t="s">
        <v>96</v>
      </c>
      <c r="B384" t="s">
        <v>384</v>
      </c>
      <c r="C384" s="1"/>
      <c r="D384" s="1">
        <v>3200000</v>
      </c>
      <c r="E384" s="1"/>
      <c r="F384" s="1">
        <v>1</v>
      </c>
      <c r="G384" s="1">
        <v>1</v>
      </c>
      <c r="H384" s="1"/>
      <c r="I384" s="1"/>
    </row>
    <row r="385" spans="1:9" x14ac:dyDescent="0.3">
      <c r="A385" t="s">
        <v>96</v>
      </c>
      <c r="B385" t="s">
        <v>54</v>
      </c>
      <c r="C385" s="1">
        <v>4</v>
      </c>
      <c r="D385" s="1">
        <v>3600000</v>
      </c>
      <c r="E385" s="1"/>
      <c r="F385" s="1">
        <v>1</v>
      </c>
      <c r="G385" s="1">
        <v>1</v>
      </c>
      <c r="H385" s="1"/>
      <c r="I385" s="1"/>
    </row>
    <row r="386" spans="1:9" x14ac:dyDescent="0.3">
      <c r="A386" t="s">
        <v>96</v>
      </c>
      <c r="B386" t="s">
        <v>54</v>
      </c>
      <c r="C386" s="1">
        <v>3</v>
      </c>
      <c r="D386" s="1">
        <v>4390000</v>
      </c>
      <c r="E386" s="1"/>
      <c r="F386" s="1"/>
      <c r="G386" s="1"/>
      <c r="H386" s="1"/>
      <c r="I386" s="1"/>
    </row>
    <row r="387" spans="1:9" x14ac:dyDescent="0.3">
      <c r="A387" t="s">
        <v>96</v>
      </c>
      <c r="B387" t="s">
        <v>385</v>
      </c>
      <c r="C387" s="1"/>
      <c r="D387" s="1">
        <v>2800000</v>
      </c>
      <c r="E387" s="1"/>
      <c r="F387" s="1"/>
      <c r="G387" s="1">
        <v>1</v>
      </c>
      <c r="H387" s="1"/>
      <c r="I387" s="1"/>
    </row>
    <row r="388" spans="1:9" x14ac:dyDescent="0.3">
      <c r="A388" t="s">
        <v>96</v>
      </c>
      <c r="B388" t="s">
        <v>386</v>
      </c>
      <c r="C388" s="1"/>
      <c r="D388" s="1">
        <v>2000000</v>
      </c>
      <c r="E388" s="1"/>
      <c r="F388" s="1">
        <v>1</v>
      </c>
      <c r="G388" s="1">
        <v>1</v>
      </c>
      <c r="H388" s="1"/>
      <c r="I388" s="1"/>
    </row>
    <row r="389" spans="1:9" x14ac:dyDescent="0.3">
      <c r="A389" t="s">
        <v>96</v>
      </c>
      <c r="B389" t="s">
        <v>387</v>
      </c>
      <c r="C389" s="1"/>
      <c r="D389" s="1">
        <v>3200000</v>
      </c>
      <c r="E389" s="1"/>
      <c r="F389" s="1"/>
      <c r="G389" s="1"/>
      <c r="H389" s="1"/>
      <c r="I389" s="1"/>
    </row>
    <row r="390" spans="1:9" x14ac:dyDescent="0.3">
      <c r="A390" t="s">
        <v>96</v>
      </c>
      <c r="B390" t="s">
        <v>388</v>
      </c>
      <c r="C390" s="1"/>
      <c r="D390" s="1">
        <v>4000000</v>
      </c>
      <c r="E390" s="1"/>
      <c r="F390" s="1"/>
      <c r="G390" s="1"/>
      <c r="H390" s="1"/>
      <c r="I390" s="1"/>
    </row>
    <row r="391" spans="1:9" x14ac:dyDescent="0.3">
      <c r="A391" t="s">
        <v>96</v>
      </c>
      <c r="B391" t="s">
        <v>177</v>
      </c>
      <c r="C391" s="1"/>
      <c r="D391" s="1">
        <v>5000000</v>
      </c>
      <c r="E391" s="1"/>
      <c r="F391" s="1"/>
      <c r="G391" s="1">
        <v>0</v>
      </c>
      <c r="H391" s="1"/>
      <c r="I391" s="1"/>
    </row>
    <row r="392" spans="1:9" x14ac:dyDescent="0.3">
      <c r="A392" t="s">
        <v>96</v>
      </c>
      <c r="B392" t="s">
        <v>389</v>
      </c>
      <c r="C392" s="1"/>
      <c r="D392" s="1">
        <v>6390000</v>
      </c>
      <c r="E392" s="1"/>
      <c r="F392" s="1"/>
      <c r="G392" s="1">
        <v>1</v>
      </c>
      <c r="H392" s="1"/>
      <c r="I392" s="1"/>
    </row>
    <row r="393" spans="1:9" x14ac:dyDescent="0.3">
      <c r="A393" t="s">
        <v>96</v>
      </c>
      <c r="B393" t="s">
        <v>390</v>
      </c>
      <c r="C393" s="1"/>
      <c r="D393" s="1">
        <v>4500000</v>
      </c>
      <c r="E393" s="1"/>
      <c r="F393" s="1"/>
      <c r="G393" s="1"/>
      <c r="H393" s="1"/>
      <c r="I393" s="1"/>
    </row>
    <row r="394" spans="1:9" x14ac:dyDescent="0.3">
      <c r="A394" t="s">
        <v>96</v>
      </c>
      <c r="B394" t="s">
        <v>134</v>
      </c>
      <c r="C394" s="1"/>
      <c r="D394" s="1">
        <v>5500000</v>
      </c>
      <c r="E394" s="1"/>
      <c r="F394" s="1"/>
      <c r="G394" s="1"/>
      <c r="H394" s="1"/>
      <c r="I394" s="1"/>
    </row>
    <row r="395" spans="1:9" x14ac:dyDescent="0.3">
      <c r="A395" t="s">
        <v>96</v>
      </c>
      <c r="B395" t="s">
        <v>391</v>
      </c>
      <c r="C395" s="1"/>
      <c r="D395" s="1">
        <v>3200000</v>
      </c>
      <c r="E395" s="1"/>
      <c r="F395" s="1">
        <v>1</v>
      </c>
      <c r="G395" s="1">
        <v>1</v>
      </c>
      <c r="H395" s="1"/>
      <c r="I395" s="1"/>
    </row>
    <row r="396" spans="1:9" x14ac:dyDescent="0.3">
      <c r="A396" t="s">
        <v>96</v>
      </c>
      <c r="B396" t="s">
        <v>392</v>
      </c>
      <c r="C396" s="1">
        <v>1</v>
      </c>
      <c r="D396" s="1">
        <v>12000000</v>
      </c>
      <c r="E396" s="1"/>
      <c r="F396" s="1">
        <v>1</v>
      </c>
      <c r="G396" s="1">
        <v>1</v>
      </c>
      <c r="H396" s="1"/>
      <c r="I396" s="1">
        <v>2</v>
      </c>
    </row>
    <row r="397" spans="1:9" x14ac:dyDescent="0.3">
      <c r="A397" t="s">
        <v>96</v>
      </c>
      <c r="B397" t="s">
        <v>393</v>
      </c>
      <c r="C397" s="1"/>
      <c r="D397" s="1">
        <v>8800000</v>
      </c>
      <c r="E397" s="1"/>
      <c r="F397" s="1">
        <v>0</v>
      </c>
      <c r="G397" s="1">
        <v>1</v>
      </c>
      <c r="H397" s="1"/>
      <c r="I397" s="1"/>
    </row>
    <row r="398" spans="1:9" x14ac:dyDescent="0.3">
      <c r="A398" t="s">
        <v>96</v>
      </c>
      <c r="B398" t="s">
        <v>280</v>
      </c>
      <c r="C398" s="1">
        <v>2</v>
      </c>
      <c r="D398" s="1">
        <v>8800000</v>
      </c>
      <c r="E398" s="1"/>
      <c r="F398" s="1"/>
      <c r="G398" s="1"/>
      <c r="H398" s="1"/>
      <c r="I398" s="1"/>
    </row>
    <row r="399" spans="1:9" x14ac:dyDescent="0.3">
      <c r="A399" t="s">
        <v>96</v>
      </c>
      <c r="B399" t="s">
        <v>219</v>
      </c>
      <c r="C399" s="1">
        <v>1</v>
      </c>
      <c r="D399" s="1">
        <v>10000000</v>
      </c>
      <c r="E399" s="1"/>
      <c r="F399" s="1"/>
      <c r="G399" s="1"/>
      <c r="H399" s="1"/>
      <c r="I399" s="1"/>
    </row>
    <row r="400" spans="1:9" x14ac:dyDescent="0.3">
      <c r="A400" t="s">
        <v>96</v>
      </c>
      <c r="B400" t="s">
        <v>394</v>
      </c>
      <c r="C400" s="1"/>
      <c r="D400" s="1">
        <v>10500000</v>
      </c>
      <c r="E400" s="1"/>
      <c r="F400" s="1"/>
      <c r="G400" s="1"/>
      <c r="H400" s="1"/>
      <c r="I400" s="1"/>
    </row>
    <row r="401" spans="1:9" x14ac:dyDescent="0.3">
      <c r="A401" t="s">
        <v>96</v>
      </c>
      <c r="B401" t="s">
        <v>395</v>
      </c>
      <c r="C401" s="1">
        <v>1</v>
      </c>
      <c r="D401" s="1">
        <v>11500000</v>
      </c>
      <c r="E401" s="1"/>
      <c r="F401" s="1"/>
      <c r="G401" s="1">
        <v>1</v>
      </c>
      <c r="H401" s="1"/>
      <c r="I401" s="1"/>
    </row>
    <row r="402" spans="1:9" x14ac:dyDescent="0.3">
      <c r="A402" t="s">
        <v>96</v>
      </c>
      <c r="B402" t="s">
        <v>57</v>
      </c>
      <c r="C402" s="1">
        <v>4</v>
      </c>
      <c r="D402" s="1">
        <v>7990000</v>
      </c>
      <c r="E402" s="1"/>
      <c r="F402" s="1"/>
      <c r="G402" s="1">
        <v>1</v>
      </c>
      <c r="H402" s="1"/>
      <c r="I402" s="1"/>
    </row>
    <row r="403" spans="1:9" x14ac:dyDescent="0.3">
      <c r="A403" t="s">
        <v>96</v>
      </c>
      <c r="B403" t="s">
        <v>396</v>
      </c>
      <c r="C403" s="1"/>
      <c r="D403" s="1">
        <v>6800000</v>
      </c>
      <c r="E403" s="1"/>
      <c r="F403" s="1"/>
      <c r="G403" s="1"/>
      <c r="H403" s="1"/>
      <c r="I403" s="1"/>
    </row>
    <row r="404" spans="1:9" x14ac:dyDescent="0.3">
      <c r="A404" t="s">
        <v>96</v>
      </c>
      <c r="B404" t="s">
        <v>71</v>
      </c>
      <c r="C404" s="1">
        <v>2</v>
      </c>
      <c r="D404" s="1">
        <v>4500000</v>
      </c>
      <c r="E404" s="1"/>
      <c r="F404" s="1">
        <v>1</v>
      </c>
      <c r="G404" s="1">
        <v>1</v>
      </c>
      <c r="H404" s="1"/>
      <c r="I404" s="1"/>
    </row>
    <row r="405" spans="1:9" x14ac:dyDescent="0.3">
      <c r="A405" t="s">
        <v>96</v>
      </c>
      <c r="B405" t="s">
        <v>397</v>
      </c>
      <c r="C405" s="1"/>
      <c r="D405" s="1">
        <v>6900000</v>
      </c>
      <c r="E405" s="1"/>
      <c r="F405" s="1"/>
      <c r="G405" s="1">
        <v>1</v>
      </c>
      <c r="H405" s="1"/>
      <c r="I405" s="1"/>
    </row>
    <row r="406" spans="1:9" x14ac:dyDescent="0.3">
      <c r="A406" t="s">
        <v>96</v>
      </c>
      <c r="B406" t="s">
        <v>398</v>
      </c>
      <c r="C406" s="1"/>
      <c r="D406" s="1">
        <v>2500000</v>
      </c>
      <c r="E406" s="1"/>
      <c r="F406" s="1"/>
      <c r="G406" s="1"/>
      <c r="H406" s="1"/>
      <c r="I406" s="1"/>
    </row>
    <row r="407" spans="1:9" x14ac:dyDescent="0.3">
      <c r="A407" t="s">
        <v>96</v>
      </c>
      <c r="B407" t="s">
        <v>399</v>
      </c>
      <c r="C407" s="1">
        <v>7</v>
      </c>
      <c r="D407" s="1">
        <v>2690000</v>
      </c>
      <c r="E407" s="1"/>
      <c r="F407" s="1"/>
      <c r="G407" s="1"/>
      <c r="H407" s="1"/>
      <c r="I407" s="1"/>
    </row>
    <row r="408" spans="1:9" x14ac:dyDescent="0.3">
      <c r="A408" t="s">
        <v>98</v>
      </c>
      <c r="B408" t="s">
        <v>400</v>
      </c>
      <c r="C408" s="1"/>
      <c r="D408" s="1"/>
      <c r="E408" s="1"/>
      <c r="F408" s="1"/>
      <c r="G408" s="1"/>
      <c r="H408" s="1"/>
      <c r="I408" s="1"/>
    </row>
    <row r="409" spans="1:9" x14ac:dyDescent="0.3">
      <c r="A409" t="s">
        <v>98</v>
      </c>
      <c r="B409" t="s">
        <v>401</v>
      </c>
      <c r="C409" s="1"/>
      <c r="D409" s="1">
        <v>2000000</v>
      </c>
      <c r="E409" s="1"/>
      <c r="F409" s="1"/>
      <c r="G409" s="1"/>
      <c r="H409" s="1"/>
      <c r="I409" s="1"/>
    </row>
    <row r="410" spans="1:9" x14ac:dyDescent="0.3">
      <c r="A410" t="s">
        <v>98</v>
      </c>
      <c r="B410" t="s">
        <v>357</v>
      </c>
      <c r="C410" s="1">
        <v>1</v>
      </c>
      <c r="D410" s="1">
        <v>750000</v>
      </c>
      <c r="E410" s="1"/>
      <c r="F410" s="1"/>
      <c r="G410" s="1"/>
      <c r="H410" s="1"/>
      <c r="I410" s="1"/>
    </row>
    <row r="411" spans="1:9" x14ac:dyDescent="0.3">
      <c r="A411" t="s">
        <v>98</v>
      </c>
      <c r="B411" t="s">
        <v>402</v>
      </c>
      <c r="C411" s="1"/>
      <c r="D411" s="1">
        <v>1200000</v>
      </c>
      <c r="E411" s="1"/>
      <c r="F411" s="1"/>
      <c r="G411" s="1">
        <v>1</v>
      </c>
      <c r="H411" s="1"/>
      <c r="I411" s="1"/>
    </row>
    <row r="412" spans="1:9" x14ac:dyDescent="0.3">
      <c r="A412" t="s">
        <v>98</v>
      </c>
      <c r="B412" t="s">
        <v>403</v>
      </c>
      <c r="C412" s="1"/>
      <c r="D412" s="1">
        <v>1400000</v>
      </c>
      <c r="E412" s="1"/>
      <c r="F412" s="1">
        <v>1</v>
      </c>
      <c r="G412" s="1">
        <v>1</v>
      </c>
      <c r="H412" s="1"/>
      <c r="I412" s="1"/>
    </row>
    <row r="413" spans="1:9" x14ac:dyDescent="0.3">
      <c r="A413" t="s">
        <v>142</v>
      </c>
      <c r="B413" t="s">
        <v>404</v>
      </c>
      <c r="C413" s="1"/>
      <c r="D413" s="1">
        <v>2400000</v>
      </c>
      <c r="E413" s="1"/>
      <c r="F413" s="1"/>
      <c r="G413" s="1"/>
      <c r="H413" s="1"/>
      <c r="I413" s="1"/>
    </row>
    <row r="414" spans="1:9" x14ac:dyDescent="0.3">
      <c r="A414" t="s">
        <v>142</v>
      </c>
      <c r="B414" t="s">
        <v>405</v>
      </c>
      <c r="C414" s="1">
        <v>1</v>
      </c>
      <c r="D414" s="1">
        <v>3990000</v>
      </c>
      <c r="E414" s="1"/>
      <c r="F414" s="1"/>
      <c r="G414" s="1"/>
      <c r="H414" s="1"/>
      <c r="I414" s="1"/>
    </row>
    <row r="415" spans="1:9" x14ac:dyDescent="0.3">
      <c r="A415" t="s">
        <v>142</v>
      </c>
      <c r="B415" t="s">
        <v>406</v>
      </c>
      <c r="C415" s="1"/>
      <c r="D415" s="1">
        <v>8600000</v>
      </c>
      <c r="E415" s="1"/>
      <c r="F415" s="1"/>
      <c r="G415" s="1"/>
      <c r="H415" s="1"/>
      <c r="I415" s="1"/>
    </row>
    <row r="416" spans="1:9" x14ac:dyDescent="0.3">
      <c r="A416" t="s">
        <v>142</v>
      </c>
      <c r="B416" t="s">
        <v>407</v>
      </c>
      <c r="C416" s="1"/>
      <c r="D416" s="1">
        <v>2500000</v>
      </c>
      <c r="E416" s="1"/>
      <c r="F416" s="1"/>
      <c r="G416" s="1"/>
      <c r="H416" s="1"/>
      <c r="I416" s="1"/>
    </row>
    <row r="417" spans="1:9" x14ac:dyDescent="0.3">
      <c r="A417" t="s">
        <v>142</v>
      </c>
      <c r="B417" t="s">
        <v>407</v>
      </c>
      <c r="C417" s="1"/>
      <c r="D417" s="1">
        <v>1500000</v>
      </c>
      <c r="E417" s="1"/>
      <c r="F417" s="1">
        <v>1</v>
      </c>
      <c r="G417" s="1">
        <v>1</v>
      </c>
      <c r="H417" s="1"/>
      <c r="I417" s="1"/>
    </row>
    <row r="418" spans="1:9" x14ac:dyDescent="0.3">
      <c r="A418" t="s">
        <v>142</v>
      </c>
      <c r="B418" t="s">
        <v>181</v>
      </c>
      <c r="C418" s="1"/>
      <c r="D418" s="1">
        <v>9500000</v>
      </c>
      <c r="E418" s="1">
        <v>1</v>
      </c>
      <c r="F418" s="1">
        <v>1</v>
      </c>
      <c r="G418" s="1">
        <v>1</v>
      </c>
      <c r="H418" s="1"/>
      <c r="I418" s="1"/>
    </row>
    <row r="419" spans="1:9" x14ac:dyDescent="0.3">
      <c r="A419" t="s">
        <v>142</v>
      </c>
      <c r="B419" t="s">
        <v>408</v>
      </c>
      <c r="C419" s="1">
        <v>2</v>
      </c>
      <c r="D419" s="1">
        <v>10000000</v>
      </c>
      <c r="E419" s="1"/>
      <c r="F419" s="1"/>
      <c r="G419" s="1">
        <v>1</v>
      </c>
      <c r="H419" s="1"/>
      <c r="I419" s="1"/>
    </row>
    <row r="420" spans="1:9" x14ac:dyDescent="0.3">
      <c r="A420" t="s">
        <v>142</v>
      </c>
      <c r="B420" t="s">
        <v>409</v>
      </c>
      <c r="C420" s="1"/>
      <c r="D420" s="1">
        <v>6590000</v>
      </c>
      <c r="E420" s="1"/>
      <c r="F420" s="1"/>
      <c r="G420" s="1">
        <v>1</v>
      </c>
      <c r="H420" s="1"/>
      <c r="I420" s="1"/>
    </row>
    <row r="421" spans="1:9" x14ac:dyDescent="0.3">
      <c r="A421" t="s">
        <v>142</v>
      </c>
      <c r="B421" t="s">
        <v>410</v>
      </c>
      <c r="C421" s="1"/>
      <c r="D421" s="1">
        <v>1200000</v>
      </c>
      <c r="E421" s="1"/>
      <c r="F421" s="1"/>
      <c r="G421" s="1"/>
      <c r="H421" s="1"/>
      <c r="I421" s="1"/>
    </row>
    <row r="422" spans="1:9" x14ac:dyDescent="0.3">
      <c r="A422" t="s">
        <v>142</v>
      </c>
      <c r="B422" t="s">
        <v>411</v>
      </c>
      <c r="C422" s="1"/>
      <c r="D422" s="1">
        <v>1600000</v>
      </c>
      <c r="E422" s="1"/>
      <c r="F422" s="1"/>
      <c r="G422" s="1"/>
      <c r="H422" s="1"/>
      <c r="I422" s="1"/>
    </row>
    <row r="423" spans="1:9" x14ac:dyDescent="0.3">
      <c r="A423" t="s">
        <v>142</v>
      </c>
      <c r="B423" t="s">
        <v>412</v>
      </c>
      <c r="C423" s="1"/>
      <c r="D423" s="1">
        <v>2000000</v>
      </c>
      <c r="E423" s="1"/>
      <c r="F423" s="1">
        <v>1</v>
      </c>
      <c r="G423" s="1">
        <v>1</v>
      </c>
      <c r="H423" s="1"/>
      <c r="I423" s="1"/>
    </row>
    <row r="424" spans="1:9" x14ac:dyDescent="0.3">
      <c r="A424" t="s">
        <v>142</v>
      </c>
      <c r="B424" t="s">
        <v>413</v>
      </c>
      <c r="C424" s="1"/>
      <c r="D424" s="1">
        <v>1500000</v>
      </c>
      <c r="E424" s="1"/>
      <c r="F424" s="1"/>
      <c r="G424" s="1"/>
      <c r="H424" s="1"/>
      <c r="I424" s="1"/>
    </row>
    <row r="425" spans="1:9" x14ac:dyDescent="0.3">
      <c r="A425" t="s">
        <v>142</v>
      </c>
      <c r="B425" t="s">
        <v>51</v>
      </c>
      <c r="C425" s="1">
        <v>1</v>
      </c>
      <c r="D425" s="1">
        <v>3250000</v>
      </c>
      <c r="E425" s="1"/>
      <c r="F425" s="1"/>
      <c r="G425" s="1"/>
      <c r="H425" s="1"/>
      <c r="I425" s="1"/>
    </row>
    <row r="426" spans="1:9" x14ac:dyDescent="0.3">
      <c r="A426" t="s">
        <v>142</v>
      </c>
      <c r="B426" t="s">
        <v>414</v>
      </c>
      <c r="C426" s="1"/>
      <c r="D426" s="1">
        <v>3890000</v>
      </c>
      <c r="E426" s="1">
        <v>1</v>
      </c>
      <c r="F426" s="1">
        <v>1</v>
      </c>
      <c r="G426" s="1">
        <v>1</v>
      </c>
      <c r="H426" s="1"/>
      <c r="I426" s="1"/>
    </row>
    <row r="427" spans="1:9" x14ac:dyDescent="0.3">
      <c r="A427" t="s">
        <v>142</v>
      </c>
      <c r="B427" t="s">
        <v>415</v>
      </c>
      <c r="C427" s="1"/>
      <c r="D427" s="1">
        <v>2500000</v>
      </c>
      <c r="E427" s="1"/>
      <c r="F427" s="1"/>
      <c r="G427" s="1"/>
      <c r="H427" s="1"/>
      <c r="I427" s="1"/>
    </row>
    <row r="428" spans="1:9" x14ac:dyDescent="0.3">
      <c r="A428" t="s">
        <v>142</v>
      </c>
      <c r="B428" t="s">
        <v>416</v>
      </c>
      <c r="C428" s="1"/>
      <c r="D428" s="1">
        <v>3500000</v>
      </c>
      <c r="E428" s="1"/>
      <c r="F428" s="1"/>
      <c r="G428" s="1">
        <v>1</v>
      </c>
      <c r="H428" s="1"/>
      <c r="I428" s="1"/>
    </row>
    <row r="429" spans="1:9" x14ac:dyDescent="0.3">
      <c r="A429" t="s">
        <v>142</v>
      </c>
      <c r="B429" t="s">
        <v>52</v>
      </c>
      <c r="C429" s="1">
        <v>3</v>
      </c>
      <c r="D429" s="1">
        <v>5100000</v>
      </c>
      <c r="E429" s="1"/>
      <c r="F429" s="1"/>
      <c r="G429" s="1">
        <v>1</v>
      </c>
      <c r="H429" s="1"/>
      <c r="I429" s="1"/>
    </row>
    <row r="430" spans="1:9" x14ac:dyDescent="0.3">
      <c r="A430" t="s">
        <v>156</v>
      </c>
      <c r="B430" t="s">
        <v>417</v>
      </c>
      <c r="C430" s="1">
        <v>2</v>
      </c>
      <c r="D430" s="1">
        <v>6500000</v>
      </c>
      <c r="E430" s="1"/>
      <c r="F430" s="1"/>
      <c r="G430" s="1">
        <v>-1</v>
      </c>
      <c r="H430" s="1"/>
      <c r="I430" s="1"/>
    </row>
    <row r="431" spans="1:9" x14ac:dyDescent="0.3">
      <c r="A431" t="s">
        <v>156</v>
      </c>
      <c r="B431" t="s">
        <v>77</v>
      </c>
      <c r="C431" s="1">
        <v>3</v>
      </c>
      <c r="D431" s="1">
        <v>12500000</v>
      </c>
      <c r="E431" s="1"/>
      <c r="F431" s="1"/>
      <c r="G431" s="1">
        <v>0</v>
      </c>
      <c r="H431" s="1"/>
      <c r="I431" s="1"/>
    </row>
    <row r="432" spans="1:9" x14ac:dyDescent="0.3">
      <c r="A432" t="s">
        <v>93</v>
      </c>
      <c r="B432" t="s">
        <v>418</v>
      </c>
      <c r="C432" s="1">
        <v>1</v>
      </c>
      <c r="D432" s="1">
        <v>7000000</v>
      </c>
      <c r="E432" s="1"/>
      <c r="F432" s="1"/>
      <c r="G432" s="1"/>
      <c r="H432" s="1"/>
      <c r="I432" s="1"/>
    </row>
    <row r="433" spans="1:9" x14ac:dyDescent="0.3">
      <c r="A433" t="s">
        <v>10</v>
      </c>
      <c r="B433" t="s">
        <v>419</v>
      </c>
      <c r="C433" s="1"/>
      <c r="D433" s="1"/>
      <c r="E433" s="1"/>
      <c r="F433" s="1"/>
      <c r="G433" s="1">
        <v>-1</v>
      </c>
      <c r="H433" s="1"/>
      <c r="I433" s="1"/>
    </row>
    <row r="434" spans="1:9" x14ac:dyDescent="0.3">
      <c r="A434" t="s">
        <v>10</v>
      </c>
      <c r="B434" t="s">
        <v>420</v>
      </c>
      <c r="C434" s="1"/>
      <c r="D434" s="1"/>
      <c r="E434" s="1"/>
      <c r="F434" s="1"/>
      <c r="G434" s="1"/>
      <c r="H434" s="1"/>
      <c r="I434" s="1"/>
    </row>
    <row r="435" spans="1:9" x14ac:dyDescent="0.3">
      <c r="A435" t="s">
        <v>10</v>
      </c>
      <c r="B435" t="s">
        <v>421</v>
      </c>
      <c r="C435" s="1"/>
      <c r="D435" s="1"/>
      <c r="E435" s="1"/>
      <c r="F435" s="1">
        <v>1</v>
      </c>
      <c r="G435" s="1">
        <v>0</v>
      </c>
      <c r="H435" s="1"/>
      <c r="I435" s="1"/>
    </row>
    <row r="436" spans="1:9" x14ac:dyDescent="0.3">
      <c r="A436" t="s">
        <v>10</v>
      </c>
      <c r="B436" t="s">
        <v>422</v>
      </c>
      <c r="C436" s="1">
        <v>2</v>
      </c>
      <c r="D436" s="1">
        <v>5000000</v>
      </c>
      <c r="E436" s="1"/>
      <c r="F436" s="1"/>
      <c r="G436" s="1"/>
      <c r="H436" s="1"/>
      <c r="I436" s="1"/>
    </row>
    <row r="437" spans="1:9" x14ac:dyDescent="0.3">
      <c r="A437" t="s">
        <v>10</v>
      </c>
      <c r="B437" t="s">
        <v>423</v>
      </c>
      <c r="C437" s="1">
        <v>1</v>
      </c>
      <c r="D437" s="1">
        <v>3800000</v>
      </c>
      <c r="E437" s="1"/>
      <c r="F437" s="1"/>
      <c r="G437" s="1">
        <v>0</v>
      </c>
      <c r="H437" s="1"/>
      <c r="I437" s="1"/>
    </row>
    <row r="438" spans="1:9" x14ac:dyDescent="0.3">
      <c r="A438" t="s">
        <v>10</v>
      </c>
      <c r="B438" t="s">
        <v>424</v>
      </c>
      <c r="C438" s="1"/>
      <c r="D438" s="1"/>
      <c r="E438" s="1"/>
      <c r="F438" s="1"/>
      <c r="G438" s="1"/>
      <c r="H438" s="1"/>
      <c r="I438" s="1"/>
    </row>
    <row r="439" spans="1:9" x14ac:dyDescent="0.3">
      <c r="A439" t="s">
        <v>10</v>
      </c>
      <c r="B439" t="s">
        <v>425</v>
      </c>
      <c r="C439" s="1"/>
      <c r="D439" s="1">
        <v>6600000</v>
      </c>
      <c r="E439" s="1">
        <v>-1</v>
      </c>
      <c r="F439" s="1">
        <v>0</v>
      </c>
      <c r="G439" s="1">
        <v>0</v>
      </c>
      <c r="H439" s="1"/>
      <c r="I439" s="1"/>
    </row>
    <row r="440" spans="1:9" x14ac:dyDescent="0.3">
      <c r="A440" t="s">
        <v>264</v>
      </c>
      <c r="B440" t="s">
        <v>426</v>
      </c>
      <c r="C440" s="1"/>
      <c r="D440" s="1">
        <v>17000000</v>
      </c>
      <c r="E440" s="1"/>
      <c r="F440" s="1">
        <v>0</v>
      </c>
      <c r="G440" s="1">
        <v>0</v>
      </c>
      <c r="H440" s="1"/>
      <c r="I440" s="1"/>
    </row>
    <row r="441" spans="1:9" x14ac:dyDescent="0.3">
      <c r="A441" t="s">
        <v>125</v>
      </c>
      <c r="B441" t="s">
        <v>270</v>
      </c>
      <c r="C441" s="1">
        <v>2</v>
      </c>
      <c r="D441" s="1">
        <v>4200000</v>
      </c>
      <c r="E441" s="1"/>
      <c r="F441" s="1"/>
      <c r="G441" s="1"/>
      <c r="H441" s="1"/>
      <c r="I441" s="1"/>
    </row>
    <row r="442" spans="1:9" x14ac:dyDescent="0.3">
      <c r="A442" t="s">
        <v>121</v>
      </c>
      <c r="B442" t="s">
        <v>27</v>
      </c>
      <c r="C442" s="1">
        <v>3</v>
      </c>
      <c r="D442" s="1">
        <v>3690000</v>
      </c>
      <c r="E442" s="1"/>
      <c r="F442" s="1"/>
      <c r="G442" s="1">
        <v>0</v>
      </c>
      <c r="H442" s="1"/>
      <c r="I442" s="1"/>
    </row>
    <row r="443" spans="1:9" x14ac:dyDescent="0.3">
      <c r="A443" t="s">
        <v>121</v>
      </c>
      <c r="B443" t="s">
        <v>427</v>
      </c>
      <c r="C443" s="1">
        <v>4</v>
      </c>
      <c r="D443" s="1">
        <v>4590000</v>
      </c>
      <c r="E443" s="1"/>
      <c r="F443" s="1"/>
      <c r="G443" s="1"/>
      <c r="H443" s="1"/>
      <c r="I443" s="1"/>
    </row>
    <row r="444" spans="1:9" x14ac:dyDescent="0.3">
      <c r="A444" t="s">
        <v>98</v>
      </c>
      <c r="B444" t="s">
        <v>428</v>
      </c>
      <c r="C444" s="1">
        <v>1</v>
      </c>
      <c r="D444" s="1">
        <v>1290000</v>
      </c>
      <c r="E444" s="1"/>
      <c r="F444" s="1">
        <v>1</v>
      </c>
      <c r="G444" s="1">
        <v>1</v>
      </c>
      <c r="H444" s="1"/>
      <c r="I444" s="1"/>
    </row>
    <row r="445" spans="1:9" x14ac:dyDescent="0.3">
      <c r="A445" t="s">
        <v>142</v>
      </c>
      <c r="B445" t="s">
        <v>429</v>
      </c>
      <c r="C445" s="1">
        <v>1</v>
      </c>
      <c r="D445" s="1">
        <v>2000000</v>
      </c>
      <c r="E445" s="1"/>
      <c r="F445" s="1">
        <v>-1</v>
      </c>
      <c r="G445" s="1">
        <v>-1</v>
      </c>
      <c r="H445" s="1"/>
      <c r="I445" s="1"/>
    </row>
    <row r="446" spans="1:9" x14ac:dyDescent="0.3">
      <c r="A446" t="s">
        <v>156</v>
      </c>
      <c r="B446" t="s">
        <v>432</v>
      </c>
      <c r="C446" s="1"/>
      <c r="D446" s="1">
        <v>4800000</v>
      </c>
      <c r="E446" s="1"/>
      <c r="F446" s="1"/>
      <c r="G446" s="1"/>
      <c r="H446" s="1"/>
      <c r="I446" s="1"/>
    </row>
    <row r="447" spans="1:9" x14ac:dyDescent="0.3">
      <c r="A447" t="s">
        <v>156</v>
      </c>
      <c r="B447" t="s">
        <v>433</v>
      </c>
      <c r="C447" s="1"/>
      <c r="D447" s="1">
        <v>4100000</v>
      </c>
      <c r="E447" s="1"/>
      <c r="F447" s="1"/>
      <c r="G447" s="1"/>
      <c r="H447" s="1"/>
      <c r="I447" s="1"/>
    </row>
    <row r="448" spans="1:9" x14ac:dyDescent="0.3">
      <c r="A448" t="s">
        <v>156</v>
      </c>
      <c r="B448" t="s">
        <v>434</v>
      </c>
      <c r="C448" s="1"/>
      <c r="D448" s="1">
        <v>5200000</v>
      </c>
      <c r="E448" s="1"/>
      <c r="F448" s="1"/>
      <c r="G448" s="1"/>
      <c r="H448" s="1"/>
      <c r="I448" s="1"/>
    </row>
    <row r="449" spans="1:9" x14ac:dyDescent="0.3">
      <c r="A449" t="s">
        <v>156</v>
      </c>
      <c r="B449" t="s">
        <v>435</v>
      </c>
      <c r="C449" s="1"/>
      <c r="D449" s="1">
        <v>5200000</v>
      </c>
      <c r="E449" s="1"/>
      <c r="F449" s="1"/>
      <c r="G449" s="1"/>
      <c r="H449" s="1"/>
      <c r="I449" s="1"/>
    </row>
    <row r="450" spans="1:9" x14ac:dyDescent="0.3">
      <c r="A450" t="s">
        <v>156</v>
      </c>
      <c r="B450" t="s">
        <v>436</v>
      </c>
      <c r="C450" s="1"/>
      <c r="D450" s="1">
        <v>7000000</v>
      </c>
      <c r="E450" s="1"/>
      <c r="F450" s="1"/>
      <c r="G450" s="1"/>
      <c r="H450" s="1"/>
      <c r="I450" s="1"/>
    </row>
    <row r="451" spans="1:9" x14ac:dyDescent="0.3">
      <c r="A451" t="s">
        <v>156</v>
      </c>
      <c r="B451" t="s">
        <v>437</v>
      </c>
      <c r="C451" s="1"/>
      <c r="D451" s="1">
        <v>6600000</v>
      </c>
      <c r="E451" s="1"/>
      <c r="F451" s="1"/>
      <c r="G451" s="1"/>
      <c r="H451" s="1"/>
      <c r="I451" s="1"/>
    </row>
    <row r="452" spans="1:9" x14ac:dyDescent="0.3">
      <c r="A452" t="s">
        <v>156</v>
      </c>
      <c r="B452" t="s">
        <v>228</v>
      </c>
      <c r="C452" s="1">
        <v>1</v>
      </c>
      <c r="D452" s="1">
        <v>5400000</v>
      </c>
      <c r="E452" s="1"/>
      <c r="F452" s="1"/>
      <c r="G452" s="1"/>
      <c r="H452" s="1"/>
      <c r="I452" s="1"/>
    </row>
    <row r="453" spans="1:9" x14ac:dyDescent="0.3">
      <c r="A453" t="s">
        <v>156</v>
      </c>
      <c r="B453" t="s">
        <v>289</v>
      </c>
      <c r="C453" s="1">
        <v>1</v>
      </c>
      <c r="D453" s="1">
        <v>4400000</v>
      </c>
      <c r="E453" s="1"/>
      <c r="F453" s="1"/>
      <c r="G453" s="1"/>
      <c r="H453" s="1"/>
      <c r="I453" s="1"/>
    </row>
    <row r="454" spans="1:9" x14ac:dyDescent="0.3">
      <c r="A454" t="s">
        <v>156</v>
      </c>
      <c r="B454" t="s">
        <v>290</v>
      </c>
      <c r="C454" s="1"/>
      <c r="D454" s="1">
        <v>5000000</v>
      </c>
      <c r="E454" s="1"/>
      <c r="F454" s="1"/>
      <c r="G454" s="1"/>
      <c r="H454" s="1"/>
      <c r="I454" s="1"/>
    </row>
    <row r="455" spans="1:9" x14ac:dyDescent="0.3">
      <c r="A455" t="s">
        <v>156</v>
      </c>
      <c r="B455" t="s">
        <v>290</v>
      </c>
      <c r="C455" s="1"/>
      <c r="D455" s="1">
        <v>3600000</v>
      </c>
      <c r="E455" s="1"/>
      <c r="F455" s="1"/>
      <c r="G455" s="1"/>
      <c r="H455" s="1"/>
      <c r="I455" s="1"/>
    </row>
    <row r="456" spans="1:9" x14ac:dyDescent="0.3">
      <c r="A456" t="s">
        <v>156</v>
      </c>
      <c r="B456" t="s">
        <v>438</v>
      </c>
      <c r="C456" s="1"/>
      <c r="D456" s="1">
        <v>4600000</v>
      </c>
      <c r="E456" s="1"/>
      <c r="F456" s="1"/>
      <c r="G456" s="1"/>
      <c r="H456" s="1"/>
      <c r="I456" s="1"/>
    </row>
    <row r="457" spans="1:9" x14ac:dyDescent="0.3">
      <c r="A457" t="s">
        <v>156</v>
      </c>
      <c r="B457" t="s">
        <v>167</v>
      </c>
      <c r="C457" s="1">
        <v>1</v>
      </c>
      <c r="D457" s="1">
        <v>4800000</v>
      </c>
      <c r="E457" s="1"/>
      <c r="F457" s="1"/>
      <c r="G457" s="1"/>
      <c r="H457" s="1"/>
      <c r="I457" s="1"/>
    </row>
    <row r="458" spans="1:9" x14ac:dyDescent="0.3">
      <c r="A458" t="s">
        <v>156</v>
      </c>
      <c r="B458" t="s">
        <v>439</v>
      </c>
      <c r="C458" s="1">
        <v>1</v>
      </c>
      <c r="D458" s="1">
        <v>5000000</v>
      </c>
      <c r="E458" s="1"/>
      <c r="F458" s="1"/>
      <c r="G458" s="1"/>
      <c r="H458" s="1"/>
      <c r="I458" s="1"/>
    </row>
    <row r="459" spans="1:9" x14ac:dyDescent="0.3">
      <c r="A459" t="s">
        <v>156</v>
      </c>
      <c r="B459" t="s">
        <v>440</v>
      </c>
      <c r="C459" s="1"/>
      <c r="D459" s="1">
        <v>7000000</v>
      </c>
      <c r="E459" s="1"/>
      <c r="F459" s="1"/>
      <c r="G459" s="1"/>
      <c r="H459" s="1"/>
      <c r="I459" s="1"/>
    </row>
    <row r="460" spans="1:9" x14ac:dyDescent="0.3">
      <c r="A460" t="s">
        <v>156</v>
      </c>
      <c r="B460" t="s">
        <v>440</v>
      </c>
      <c r="C460" s="1">
        <v>1</v>
      </c>
      <c r="D460" s="1">
        <v>6600000</v>
      </c>
      <c r="E460" s="1"/>
      <c r="F460" s="1"/>
      <c r="G460" s="1"/>
      <c r="H460" s="1"/>
      <c r="I460" s="1"/>
    </row>
    <row r="461" spans="1:9" x14ac:dyDescent="0.3">
      <c r="A461" t="s">
        <v>156</v>
      </c>
      <c r="B461" t="s">
        <v>441</v>
      </c>
      <c r="C461" s="1">
        <v>1</v>
      </c>
      <c r="D461" s="1">
        <v>6100000</v>
      </c>
      <c r="E461" s="1"/>
      <c r="F461" s="1"/>
      <c r="G461" s="1"/>
      <c r="H461" s="1"/>
      <c r="I461" s="1"/>
    </row>
    <row r="462" spans="1:9" x14ac:dyDescent="0.3">
      <c r="A462" t="s">
        <v>156</v>
      </c>
      <c r="B462" t="s">
        <v>417</v>
      </c>
      <c r="C462" s="1"/>
      <c r="D462" s="1">
        <v>5700000</v>
      </c>
      <c r="E462" s="1"/>
      <c r="F462" s="1"/>
      <c r="G462" s="1"/>
      <c r="H462" s="1"/>
      <c r="I462" s="1"/>
    </row>
    <row r="463" spans="1:9" x14ac:dyDescent="0.3">
      <c r="A463" t="s">
        <v>156</v>
      </c>
      <c r="B463" t="s">
        <v>417</v>
      </c>
      <c r="C463" s="1">
        <v>4</v>
      </c>
      <c r="D463" s="1">
        <v>6100000</v>
      </c>
      <c r="E463" s="1"/>
      <c r="F463" s="1"/>
      <c r="G463" s="1"/>
      <c r="H463" s="1"/>
      <c r="I463" s="1"/>
    </row>
    <row r="464" spans="1:9" x14ac:dyDescent="0.3">
      <c r="A464" t="s">
        <v>156</v>
      </c>
      <c r="B464" t="s">
        <v>442</v>
      </c>
      <c r="C464" s="1">
        <v>1</v>
      </c>
      <c r="D464" s="1">
        <v>6500000</v>
      </c>
      <c r="E464" s="1"/>
      <c r="F464" s="1"/>
      <c r="G464" s="1"/>
      <c r="H464" s="1"/>
      <c r="I464" s="1"/>
    </row>
    <row r="465" spans="1:9" x14ac:dyDescent="0.3">
      <c r="A465" t="s">
        <v>156</v>
      </c>
      <c r="B465" t="s">
        <v>442</v>
      </c>
      <c r="C465" s="1">
        <v>3</v>
      </c>
      <c r="D465" s="1">
        <v>6100000</v>
      </c>
      <c r="E465" s="1"/>
      <c r="F465" s="1"/>
      <c r="G465" s="1"/>
      <c r="H465" s="1"/>
      <c r="I465" s="1"/>
    </row>
    <row r="466" spans="1:9" x14ac:dyDescent="0.3">
      <c r="A466" t="s">
        <v>156</v>
      </c>
      <c r="B466" t="s">
        <v>443</v>
      </c>
      <c r="C466" s="1">
        <v>1</v>
      </c>
      <c r="D466" s="1">
        <v>6600000</v>
      </c>
      <c r="E466" s="1"/>
      <c r="F466" s="1"/>
      <c r="G466" s="1"/>
      <c r="H466" s="1"/>
      <c r="I466" s="1"/>
    </row>
    <row r="467" spans="1:9" x14ac:dyDescent="0.3">
      <c r="A467" t="s">
        <v>156</v>
      </c>
      <c r="B467" t="s">
        <v>444</v>
      </c>
      <c r="C467" s="1">
        <v>3</v>
      </c>
      <c r="D467" s="1">
        <v>7000000</v>
      </c>
      <c r="E467" s="1"/>
      <c r="F467" s="1"/>
      <c r="G467" s="1"/>
      <c r="H467" s="1"/>
      <c r="I467" s="1"/>
    </row>
    <row r="468" spans="1:9" x14ac:dyDescent="0.3">
      <c r="A468" t="s">
        <v>156</v>
      </c>
      <c r="B468" t="s">
        <v>445</v>
      </c>
      <c r="C468" s="1"/>
      <c r="D468" s="1">
        <v>7800000</v>
      </c>
      <c r="E468" s="1"/>
      <c r="F468" s="1"/>
      <c r="G468" s="1"/>
      <c r="H468" s="1"/>
      <c r="I468" s="1"/>
    </row>
    <row r="469" spans="1:9" x14ac:dyDescent="0.3">
      <c r="A469" t="s">
        <v>156</v>
      </c>
      <c r="B469" t="s">
        <v>430</v>
      </c>
      <c r="C469" s="1"/>
      <c r="D469" s="1">
        <v>7800000</v>
      </c>
      <c r="E469" s="1"/>
      <c r="F469" s="1"/>
      <c r="G469" s="1"/>
      <c r="H469" s="1"/>
      <c r="I469" s="1"/>
    </row>
    <row r="470" spans="1:9" x14ac:dyDescent="0.3">
      <c r="A470" t="s">
        <v>156</v>
      </c>
      <c r="B470" t="s">
        <v>446</v>
      </c>
      <c r="C470" s="1">
        <v>1</v>
      </c>
      <c r="D470" s="1">
        <v>7000000</v>
      </c>
      <c r="E470" s="1"/>
      <c r="F470" s="1"/>
      <c r="G470" s="1"/>
      <c r="H470" s="1"/>
      <c r="I470" s="1"/>
    </row>
    <row r="471" spans="1:9" x14ac:dyDescent="0.3">
      <c r="A471" t="s">
        <v>156</v>
      </c>
      <c r="B471" t="s">
        <v>447</v>
      </c>
      <c r="C471" s="1">
        <v>1</v>
      </c>
      <c r="D471" s="1"/>
      <c r="E471" s="1"/>
      <c r="F471" s="1"/>
      <c r="G471" s="1"/>
      <c r="H471" s="1"/>
      <c r="I471" s="1"/>
    </row>
    <row r="472" spans="1:9" x14ac:dyDescent="0.3">
      <c r="A472" t="s">
        <v>156</v>
      </c>
      <c r="B472" t="s">
        <v>152</v>
      </c>
      <c r="C472" s="1">
        <v>1</v>
      </c>
      <c r="D472" s="1">
        <v>11000000</v>
      </c>
      <c r="E472" s="1"/>
      <c r="F472" s="1"/>
      <c r="G472" s="1"/>
      <c r="H472" s="1"/>
      <c r="I472" s="1"/>
    </row>
    <row r="473" spans="1:9" x14ac:dyDescent="0.3">
      <c r="A473" t="s">
        <v>156</v>
      </c>
      <c r="B473" t="s">
        <v>293</v>
      </c>
      <c r="C473" s="1">
        <v>1</v>
      </c>
      <c r="D473" s="1">
        <v>11300000</v>
      </c>
      <c r="E473" s="1"/>
      <c r="F473" s="1"/>
      <c r="G473" s="1"/>
      <c r="H473" s="1"/>
      <c r="I473" s="1"/>
    </row>
    <row r="474" spans="1:9" x14ac:dyDescent="0.3">
      <c r="A474" t="s">
        <v>156</v>
      </c>
      <c r="B474" t="s">
        <v>41</v>
      </c>
      <c r="C474" s="1">
        <v>1</v>
      </c>
      <c r="D474" s="1">
        <v>7600000</v>
      </c>
      <c r="E474" s="1"/>
      <c r="F474" s="1"/>
      <c r="G474" s="1"/>
      <c r="H474" s="1"/>
      <c r="I474" s="1"/>
    </row>
    <row r="475" spans="1:9" x14ac:dyDescent="0.3">
      <c r="A475" t="s">
        <v>156</v>
      </c>
      <c r="B475" t="s">
        <v>448</v>
      </c>
      <c r="C475" s="1">
        <v>2</v>
      </c>
      <c r="D475" s="1">
        <v>9000000</v>
      </c>
      <c r="E475" s="1"/>
      <c r="F475" s="1"/>
      <c r="G475" s="1"/>
      <c r="H475" s="1"/>
      <c r="I475" s="1"/>
    </row>
    <row r="476" spans="1:9" x14ac:dyDescent="0.3">
      <c r="A476" t="s">
        <v>156</v>
      </c>
      <c r="B476" t="s">
        <v>70</v>
      </c>
      <c r="C476" s="1">
        <v>2</v>
      </c>
      <c r="D476" s="1">
        <v>8500000</v>
      </c>
      <c r="E476" s="1"/>
      <c r="F476" s="1"/>
      <c r="G476" s="1"/>
      <c r="H476" s="1"/>
      <c r="I476" s="1"/>
    </row>
    <row r="477" spans="1:9" x14ac:dyDescent="0.3">
      <c r="A477" t="s">
        <v>156</v>
      </c>
      <c r="B477" t="s">
        <v>449</v>
      </c>
      <c r="C477" s="1">
        <v>1</v>
      </c>
      <c r="D477" s="1">
        <v>8000000</v>
      </c>
      <c r="E477" s="1"/>
      <c r="F477" s="1"/>
      <c r="G477" s="1"/>
      <c r="H477" s="1"/>
      <c r="I477" s="1"/>
    </row>
    <row r="478" spans="1:9" x14ac:dyDescent="0.3">
      <c r="A478" t="s">
        <v>156</v>
      </c>
      <c r="B478" t="s">
        <v>431</v>
      </c>
      <c r="C478" s="1">
        <v>1</v>
      </c>
      <c r="D478" s="1">
        <v>12000000</v>
      </c>
      <c r="E478" s="1"/>
      <c r="F478" s="1"/>
      <c r="G478" s="1"/>
      <c r="H478" s="1"/>
      <c r="I478" s="1"/>
    </row>
    <row r="479" spans="1:9" x14ac:dyDescent="0.3">
      <c r="A479" t="s">
        <v>156</v>
      </c>
      <c r="B479" t="s">
        <v>196</v>
      </c>
      <c r="C479" s="1">
        <v>1</v>
      </c>
      <c r="D479" s="1">
        <v>9500000</v>
      </c>
      <c r="E479" s="1"/>
      <c r="F479" s="1"/>
      <c r="G479" s="1"/>
      <c r="H479" s="1"/>
      <c r="I479" s="1"/>
    </row>
    <row r="480" spans="1:9" x14ac:dyDescent="0.3">
      <c r="A480" t="s">
        <v>156</v>
      </c>
      <c r="B480" t="s">
        <v>450</v>
      </c>
      <c r="C480" s="1"/>
      <c r="D480" s="1">
        <v>7800000</v>
      </c>
      <c r="E480" s="1"/>
      <c r="F480" s="1"/>
      <c r="G480" s="1"/>
      <c r="H480" s="1"/>
      <c r="I480" s="1"/>
    </row>
    <row r="481" spans="1:9" x14ac:dyDescent="0.3">
      <c r="A481" t="s">
        <v>156</v>
      </c>
      <c r="B481" t="s">
        <v>451</v>
      </c>
      <c r="C481" s="1"/>
      <c r="D481" s="1">
        <v>7000000</v>
      </c>
      <c r="E481" s="1"/>
      <c r="F481" s="1"/>
      <c r="G481" s="1"/>
      <c r="H481" s="1"/>
      <c r="I481" s="1"/>
    </row>
    <row r="482" spans="1:9" x14ac:dyDescent="0.3">
      <c r="A482" t="s">
        <v>156</v>
      </c>
      <c r="B482" t="s">
        <v>452</v>
      </c>
      <c r="C482" s="1">
        <v>3</v>
      </c>
      <c r="D482" s="1">
        <v>11300000</v>
      </c>
      <c r="E482" s="1"/>
      <c r="F482" s="1"/>
      <c r="G482" s="1"/>
      <c r="H482" s="1"/>
      <c r="I482" s="1"/>
    </row>
    <row r="483" spans="1:9" x14ac:dyDescent="0.3">
      <c r="A483" t="s">
        <v>156</v>
      </c>
      <c r="B483" t="s">
        <v>453</v>
      </c>
      <c r="C483" s="1">
        <v>1</v>
      </c>
      <c r="D483" s="1"/>
      <c r="E483" s="1"/>
      <c r="F483" s="1"/>
      <c r="G483" s="1"/>
      <c r="H483" s="1"/>
      <c r="I483" s="1"/>
    </row>
    <row r="484" spans="1:9" x14ac:dyDescent="0.3">
      <c r="A484" t="s">
        <v>156</v>
      </c>
      <c r="B484" t="s">
        <v>454</v>
      </c>
      <c r="C484" s="1">
        <v>1</v>
      </c>
      <c r="D484" s="1">
        <v>14000000</v>
      </c>
      <c r="E484" s="1"/>
      <c r="F484" s="1"/>
      <c r="G484" s="1"/>
      <c r="H484" s="1"/>
      <c r="I484" s="1"/>
    </row>
    <row r="485" spans="1:9" x14ac:dyDescent="0.3">
      <c r="A485" t="s">
        <v>156</v>
      </c>
      <c r="B485" t="s">
        <v>455</v>
      </c>
      <c r="C485" s="1">
        <v>1</v>
      </c>
      <c r="D485" s="1">
        <v>15000000</v>
      </c>
      <c r="E485" s="1"/>
      <c r="F485" s="1"/>
      <c r="G485" s="1"/>
      <c r="H485" s="1"/>
      <c r="I485" s="1"/>
    </row>
    <row r="486" spans="1:9" x14ac:dyDescent="0.3">
      <c r="A486" t="s">
        <v>156</v>
      </c>
      <c r="B486" t="s">
        <v>456</v>
      </c>
      <c r="C486" s="1">
        <v>1</v>
      </c>
      <c r="D486" s="1">
        <v>7000000</v>
      </c>
      <c r="E486" s="1"/>
      <c r="F486" s="1"/>
      <c r="G486" s="1"/>
      <c r="H486" s="1"/>
      <c r="I486" s="1"/>
    </row>
    <row r="487" spans="1:9" x14ac:dyDescent="0.3">
      <c r="A487" t="s">
        <v>156</v>
      </c>
      <c r="B487" t="s">
        <v>457</v>
      </c>
      <c r="C487" s="1">
        <v>1</v>
      </c>
      <c r="D487" s="1">
        <v>9000000</v>
      </c>
      <c r="E487" s="1"/>
      <c r="F487" s="1"/>
      <c r="G487" s="1"/>
      <c r="H487" s="1"/>
      <c r="I487" s="1"/>
    </row>
    <row r="488" spans="1:9" x14ac:dyDescent="0.3">
      <c r="A488" t="s">
        <v>156</v>
      </c>
      <c r="B488" t="s">
        <v>458</v>
      </c>
      <c r="C488" s="1">
        <v>1</v>
      </c>
      <c r="D488" s="1">
        <v>16800000</v>
      </c>
      <c r="E488" s="1"/>
      <c r="F488" s="1"/>
      <c r="G488" s="1"/>
      <c r="H488" s="1"/>
      <c r="I488" s="1"/>
    </row>
    <row r="489" spans="1:9" x14ac:dyDescent="0.3">
      <c r="A489" t="s">
        <v>156</v>
      </c>
      <c r="B489" t="s">
        <v>459</v>
      </c>
      <c r="C489" s="1">
        <v>1</v>
      </c>
      <c r="D489" s="1">
        <v>16800000</v>
      </c>
      <c r="E489" s="1"/>
      <c r="F489" s="1"/>
      <c r="G489" s="1"/>
      <c r="H489" s="1"/>
      <c r="I489" s="1"/>
    </row>
    <row r="490" spans="1:9" x14ac:dyDescent="0.3">
      <c r="A490" t="s">
        <v>156</v>
      </c>
      <c r="B490" t="s">
        <v>460</v>
      </c>
      <c r="C490" s="1">
        <v>1</v>
      </c>
      <c r="D490" s="1">
        <v>16800000</v>
      </c>
      <c r="E490" s="1"/>
      <c r="F490" s="1"/>
      <c r="G490" s="1"/>
      <c r="H490" s="1"/>
      <c r="I490" s="1"/>
    </row>
    <row r="491" spans="1:9" x14ac:dyDescent="0.3">
      <c r="A491" t="s">
        <v>156</v>
      </c>
      <c r="B491" t="s">
        <v>461</v>
      </c>
      <c r="C491" s="1">
        <v>1</v>
      </c>
      <c r="D491" s="1"/>
      <c r="E491" s="1"/>
      <c r="F491" s="1"/>
      <c r="G491" s="1"/>
      <c r="H491" s="1"/>
      <c r="I491" s="1"/>
    </row>
    <row r="492" spans="1:9" x14ac:dyDescent="0.3">
      <c r="A492" t="s">
        <v>156</v>
      </c>
      <c r="B492" t="s">
        <v>462</v>
      </c>
      <c r="C492" s="1">
        <v>3</v>
      </c>
      <c r="D492" s="1">
        <v>8100000</v>
      </c>
      <c r="E492" s="1"/>
      <c r="F492" s="1"/>
      <c r="G492" s="1"/>
      <c r="H492" s="1"/>
      <c r="I492" s="1"/>
    </row>
    <row r="493" spans="1:9" x14ac:dyDescent="0.3">
      <c r="A493" t="s">
        <v>201</v>
      </c>
      <c r="B493" t="s">
        <v>463</v>
      </c>
      <c r="C493" s="1"/>
      <c r="D493" s="1">
        <v>1290000</v>
      </c>
      <c r="E493" s="1"/>
      <c r="F493" s="1"/>
      <c r="G493" s="1"/>
      <c r="H493" s="1"/>
      <c r="I493" s="1"/>
    </row>
    <row r="494" spans="1:9" x14ac:dyDescent="0.3">
      <c r="A494" t="s">
        <v>201</v>
      </c>
      <c r="B494" t="s">
        <v>464</v>
      </c>
      <c r="C494" s="1"/>
      <c r="D494" s="1">
        <v>11000000</v>
      </c>
      <c r="E494" s="1"/>
      <c r="F494" s="1"/>
      <c r="G494" s="1"/>
      <c r="H494" s="1"/>
      <c r="I494" s="1"/>
    </row>
    <row r="495" spans="1:9" x14ac:dyDescent="0.3">
      <c r="A495" t="s">
        <v>201</v>
      </c>
      <c r="B495" t="s">
        <v>464</v>
      </c>
      <c r="C495" s="1"/>
      <c r="D495" s="1">
        <v>9500000</v>
      </c>
      <c r="E495" s="1"/>
      <c r="F495" s="1"/>
      <c r="G495" s="1"/>
      <c r="H495" s="1"/>
      <c r="I495" s="1"/>
    </row>
    <row r="496" spans="1:9" x14ac:dyDescent="0.3">
      <c r="A496" t="s">
        <v>201</v>
      </c>
      <c r="B496" t="s">
        <v>465</v>
      </c>
      <c r="C496" s="1"/>
      <c r="D496" s="1">
        <v>790000</v>
      </c>
      <c r="E496" s="1"/>
      <c r="F496" s="1"/>
      <c r="G496" s="1"/>
      <c r="H496" s="1"/>
      <c r="I496" s="1"/>
    </row>
    <row r="497" spans="1:9" x14ac:dyDescent="0.3">
      <c r="A497" t="s">
        <v>201</v>
      </c>
      <c r="B497" t="s">
        <v>466</v>
      </c>
      <c r="C497" s="1">
        <v>1</v>
      </c>
      <c r="D497" s="1">
        <v>1290000</v>
      </c>
      <c r="E497" s="1"/>
      <c r="F497" s="1"/>
      <c r="G497" s="1"/>
      <c r="H497" s="1"/>
      <c r="I497" s="1"/>
    </row>
    <row r="498" spans="1:9" x14ac:dyDescent="0.3">
      <c r="A498" t="s">
        <v>201</v>
      </c>
      <c r="B498" t="s">
        <v>467</v>
      </c>
      <c r="C498" s="1">
        <v>1</v>
      </c>
      <c r="D498" s="1">
        <v>1800000</v>
      </c>
      <c r="E498" s="1"/>
      <c r="F498" s="1"/>
      <c r="G498" s="1"/>
      <c r="H498" s="1"/>
      <c r="I498" s="1"/>
    </row>
    <row r="499" spans="1:9" x14ac:dyDescent="0.3">
      <c r="A499" t="s">
        <v>201</v>
      </c>
      <c r="B499" t="s">
        <v>468</v>
      </c>
      <c r="C499" s="1"/>
      <c r="D499" s="1">
        <v>1399000</v>
      </c>
      <c r="E499" s="1"/>
      <c r="F499" s="1"/>
      <c r="G499" s="1"/>
      <c r="H499" s="1"/>
      <c r="I499" s="1"/>
    </row>
    <row r="500" spans="1:9" x14ac:dyDescent="0.3">
      <c r="A500" t="s">
        <v>469</v>
      </c>
      <c r="B500" t="s">
        <v>470</v>
      </c>
      <c r="C500" s="1">
        <v>2</v>
      </c>
      <c r="D500" s="1">
        <v>2000000</v>
      </c>
      <c r="E500" s="1"/>
      <c r="F500" s="1"/>
      <c r="G500" s="1"/>
      <c r="H500" s="1"/>
      <c r="I500" s="1"/>
    </row>
    <row r="501" spans="1:9" x14ac:dyDescent="0.3">
      <c r="A501" t="s">
        <v>469</v>
      </c>
      <c r="B501" t="s">
        <v>471</v>
      </c>
      <c r="C501" s="1">
        <v>4</v>
      </c>
      <c r="D501" s="1">
        <v>1800000</v>
      </c>
      <c r="E501" s="1"/>
      <c r="F501" s="1"/>
      <c r="G501" s="1"/>
      <c r="H501" s="1"/>
      <c r="I501" s="1"/>
    </row>
    <row r="502" spans="1:9" x14ac:dyDescent="0.3">
      <c r="A502" t="s">
        <v>469</v>
      </c>
      <c r="B502" t="s">
        <v>472</v>
      </c>
      <c r="C502" s="1">
        <v>1</v>
      </c>
      <c r="D502" s="1">
        <v>3000000</v>
      </c>
      <c r="E502" s="1"/>
      <c r="F502" s="1"/>
      <c r="G502" s="1"/>
      <c r="H502" s="1"/>
      <c r="I502" s="1"/>
    </row>
    <row r="503" spans="1:9" x14ac:dyDescent="0.3">
      <c r="A503" t="s">
        <v>469</v>
      </c>
      <c r="B503" t="s">
        <v>472</v>
      </c>
      <c r="C503" s="1">
        <v>1</v>
      </c>
      <c r="D503" s="1">
        <v>2400000</v>
      </c>
      <c r="E503" s="1"/>
      <c r="F503" s="1"/>
      <c r="G503" s="1"/>
      <c r="H503" s="1"/>
      <c r="I503" s="1"/>
    </row>
    <row r="504" spans="1:9" x14ac:dyDescent="0.3">
      <c r="A504" t="s">
        <v>143</v>
      </c>
      <c r="B504" t="s">
        <v>473</v>
      </c>
      <c r="C504" s="1"/>
      <c r="D504" s="1">
        <v>5000000</v>
      </c>
      <c r="E504" s="1"/>
      <c r="F504" s="1"/>
      <c r="G504" s="1"/>
      <c r="H504" s="1"/>
      <c r="I504" s="1"/>
    </row>
    <row r="505" spans="1:9" x14ac:dyDescent="0.3">
      <c r="A505" t="s">
        <v>143</v>
      </c>
      <c r="B505" t="s">
        <v>474</v>
      </c>
      <c r="C505" s="1">
        <v>1</v>
      </c>
      <c r="D505" s="1">
        <v>13500000</v>
      </c>
      <c r="E505" s="1"/>
      <c r="F505" s="1"/>
      <c r="G505" s="1"/>
      <c r="H505" s="1"/>
      <c r="I505" s="1"/>
    </row>
    <row r="506" spans="1:9" x14ac:dyDescent="0.3">
      <c r="A506" t="s">
        <v>143</v>
      </c>
      <c r="B506" t="s">
        <v>225</v>
      </c>
      <c r="C506" s="1">
        <v>1</v>
      </c>
      <c r="D506" s="1">
        <v>13490000</v>
      </c>
      <c r="E506" s="1"/>
      <c r="F506" s="1"/>
      <c r="G506" s="1"/>
      <c r="H506" s="1"/>
      <c r="I506" s="1"/>
    </row>
    <row r="507" spans="1:9" x14ac:dyDescent="0.3">
      <c r="A507" t="s">
        <v>143</v>
      </c>
      <c r="B507" t="s">
        <v>475</v>
      </c>
      <c r="C507" s="1">
        <v>1</v>
      </c>
      <c r="D507" s="1">
        <v>2000000</v>
      </c>
      <c r="E507" s="1"/>
      <c r="F507" s="1"/>
      <c r="G507" s="1"/>
      <c r="H507" s="1"/>
      <c r="I507" s="1"/>
    </row>
    <row r="508" spans="1:9" x14ac:dyDescent="0.3">
      <c r="A508" t="s">
        <v>143</v>
      </c>
      <c r="B508" t="s">
        <v>86</v>
      </c>
      <c r="C508" s="1">
        <v>2</v>
      </c>
      <c r="D508" s="1">
        <v>4590000</v>
      </c>
      <c r="E508" s="1"/>
      <c r="F508" s="1"/>
      <c r="G508" s="1"/>
      <c r="H508" s="1"/>
      <c r="I508" s="1"/>
    </row>
    <row r="509" spans="1:9" x14ac:dyDescent="0.3">
      <c r="A509" t="s">
        <v>93</v>
      </c>
      <c r="B509" t="s">
        <v>178</v>
      </c>
      <c r="C509" s="1">
        <v>4</v>
      </c>
      <c r="D509" s="1">
        <v>9500000</v>
      </c>
      <c r="E509" s="1"/>
      <c r="F509" s="1"/>
      <c r="G509" s="1"/>
      <c r="H509" s="1"/>
      <c r="I509" s="1"/>
    </row>
    <row r="510" spans="1:9" x14ac:dyDescent="0.3">
      <c r="A510" t="s">
        <v>93</v>
      </c>
      <c r="B510" t="s">
        <v>476</v>
      </c>
      <c r="C510" s="1">
        <v>1</v>
      </c>
      <c r="D510" s="1">
        <v>9000000</v>
      </c>
      <c r="E510" s="1"/>
      <c r="F510" s="1"/>
      <c r="G510" s="1"/>
      <c r="H510" s="1"/>
      <c r="I510" s="1"/>
    </row>
    <row r="511" spans="1:9" x14ac:dyDescent="0.3">
      <c r="A511" t="s">
        <v>93</v>
      </c>
      <c r="B511" t="s">
        <v>477</v>
      </c>
      <c r="C511" s="1"/>
      <c r="D511" s="1">
        <v>8500000</v>
      </c>
      <c r="E511" s="1"/>
      <c r="F511" s="1"/>
      <c r="G511" s="1"/>
      <c r="H511" s="1"/>
      <c r="I511" s="1"/>
    </row>
    <row r="512" spans="1:9" x14ac:dyDescent="0.3">
      <c r="A512" t="s">
        <v>93</v>
      </c>
      <c r="B512" t="s">
        <v>478</v>
      </c>
      <c r="C512" s="1"/>
      <c r="D512" s="1">
        <v>3199000</v>
      </c>
      <c r="E512" s="1"/>
      <c r="F512" s="1"/>
      <c r="G512" s="1"/>
      <c r="H512" s="1"/>
      <c r="I512" s="1"/>
    </row>
    <row r="513" spans="1:9" x14ac:dyDescent="0.3">
      <c r="A513" t="s">
        <v>93</v>
      </c>
      <c r="B513" t="s">
        <v>479</v>
      </c>
      <c r="C513" s="1">
        <v>1</v>
      </c>
      <c r="D513" s="1">
        <v>5800000</v>
      </c>
      <c r="E513" s="1"/>
      <c r="F513" s="1"/>
      <c r="G513" s="1"/>
      <c r="H513" s="1"/>
      <c r="I513" s="1"/>
    </row>
    <row r="514" spans="1:9" x14ac:dyDescent="0.3">
      <c r="A514" t="s">
        <v>93</v>
      </c>
      <c r="B514" t="s">
        <v>480</v>
      </c>
      <c r="C514" s="1">
        <v>1</v>
      </c>
      <c r="D514" s="1">
        <v>6400000</v>
      </c>
      <c r="E514" s="1"/>
      <c r="F514" s="1"/>
      <c r="G514" s="1"/>
      <c r="H514" s="1"/>
      <c r="I514" s="1"/>
    </row>
    <row r="515" spans="1:9" x14ac:dyDescent="0.3">
      <c r="A515" t="s">
        <v>93</v>
      </c>
      <c r="B515" t="s">
        <v>481</v>
      </c>
      <c r="C515" s="1">
        <v>1</v>
      </c>
      <c r="D515" s="1">
        <v>7300000</v>
      </c>
      <c r="E515" s="1"/>
      <c r="F515" s="1"/>
      <c r="G515" s="1"/>
      <c r="H515" s="1"/>
      <c r="I515" s="1"/>
    </row>
    <row r="516" spans="1:9" x14ac:dyDescent="0.3">
      <c r="A516" t="s">
        <v>93</v>
      </c>
      <c r="B516" t="s">
        <v>232</v>
      </c>
      <c r="C516" s="1">
        <v>1</v>
      </c>
      <c r="D516" s="1">
        <v>6100000</v>
      </c>
      <c r="E516" s="1"/>
      <c r="F516" s="1"/>
      <c r="G516" s="1"/>
      <c r="H516" s="1"/>
      <c r="I516" s="1"/>
    </row>
    <row r="517" spans="1:9" x14ac:dyDescent="0.3">
      <c r="A517" t="s">
        <v>93</v>
      </c>
      <c r="B517" t="s">
        <v>482</v>
      </c>
      <c r="C517" s="1">
        <v>1</v>
      </c>
      <c r="D517" s="1">
        <v>4900000</v>
      </c>
      <c r="E517" s="1"/>
      <c r="F517" s="1"/>
      <c r="G517" s="1"/>
      <c r="H517" s="1"/>
      <c r="I517" s="1"/>
    </row>
    <row r="518" spans="1:9" x14ac:dyDescent="0.3">
      <c r="A518" t="s">
        <v>93</v>
      </c>
      <c r="B518" t="s">
        <v>206</v>
      </c>
      <c r="C518" s="1">
        <v>1</v>
      </c>
      <c r="D518" s="1">
        <v>9100000</v>
      </c>
      <c r="E518" s="1"/>
      <c r="F518" s="1"/>
      <c r="G518" s="1"/>
      <c r="H518" s="1"/>
      <c r="I518" s="1"/>
    </row>
    <row r="519" spans="1:9" x14ac:dyDescent="0.3">
      <c r="A519" t="s">
        <v>93</v>
      </c>
      <c r="B519" t="s">
        <v>483</v>
      </c>
      <c r="C519" s="1">
        <v>1</v>
      </c>
      <c r="D519" s="1">
        <v>12000000</v>
      </c>
      <c r="E519" s="1"/>
      <c r="F519" s="1"/>
      <c r="G519" s="1"/>
      <c r="H519" s="1"/>
      <c r="I519" s="1"/>
    </row>
    <row r="520" spans="1:9" x14ac:dyDescent="0.3">
      <c r="A520" t="s">
        <v>93</v>
      </c>
      <c r="B520" t="s">
        <v>484</v>
      </c>
      <c r="C520" s="1"/>
      <c r="D520" s="1">
        <v>8000000</v>
      </c>
      <c r="E520" s="1"/>
      <c r="F520" s="1"/>
      <c r="G520" s="1"/>
      <c r="H520" s="1"/>
      <c r="I520" s="1"/>
    </row>
    <row r="521" spans="1:9" x14ac:dyDescent="0.3">
      <c r="A521" t="s">
        <v>93</v>
      </c>
      <c r="B521" t="s">
        <v>485</v>
      </c>
      <c r="C521" s="1">
        <v>1</v>
      </c>
      <c r="D521" s="1">
        <v>5400000</v>
      </c>
      <c r="E521" s="1"/>
      <c r="F521" s="1"/>
      <c r="G521" s="1"/>
      <c r="H521" s="1"/>
      <c r="I521" s="1"/>
    </row>
    <row r="522" spans="1:9" x14ac:dyDescent="0.3">
      <c r="A522" t="s">
        <v>93</v>
      </c>
      <c r="B522" t="s">
        <v>486</v>
      </c>
      <c r="C522" s="1"/>
      <c r="D522" s="1">
        <v>5700000</v>
      </c>
      <c r="E522" s="1"/>
      <c r="F522" s="1"/>
      <c r="G522" s="1"/>
      <c r="H522" s="1"/>
      <c r="I522" s="1"/>
    </row>
    <row r="523" spans="1:9" x14ac:dyDescent="0.3">
      <c r="A523" t="s">
        <v>93</v>
      </c>
      <c r="B523" t="s">
        <v>487</v>
      </c>
      <c r="C523" s="1"/>
      <c r="D523" s="1">
        <v>5700000</v>
      </c>
      <c r="E523" s="1"/>
      <c r="F523" s="1"/>
      <c r="G523" s="1"/>
      <c r="H523" s="1"/>
      <c r="I523" s="1"/>
    </row>
    <row r="524" spans="1:9" x14ac:dyDescent="0.3">
      <c r="A524" t="s">
        <v>93</v>
      </c>
      <c r="B524" t="s">
        <v>488</v>
      </c>
      <c r="C524" s="1">
        <v>1</v>
      </c>
      <c r="D524" s="1">
        <v>5400000</v>
      </c>
      <c r="E524" s="1"/>
      <c r="F524" s="1"/>
      <c r="G524" s="1"/>
      <c r="H524" s="1"/>
      <c r="I524" s="1"/>
    </row>
    <row r="525" spans="1:9" x14ac:dyDescent="0.3">
      <c r="A525" t="s">
        <v>93</v>
      </c>
      <c r="B525" t="s">
        <v>489</v>
      </c>
      <c r="C525" s="1">
        <v>3</v>
      </c>
      <c r="D525" s="1">
        <v>6500000</v>
      </c>
      <c r="E525" s="1"/>
      <c r="F525" s="1"/>
      <c r="G525" s="1"/>
      <c r="H525" s="1"/>
      <c r="I525" s="1"/>
    </row>
    <row r="526" spans="1:9" x14ac:dyDescent="0.3">
      <c r="A526" t="s">
        <v>93</v>
      </c>
      <c r="B526" t="s">
        <v>490</v>
      </c>
      <c r="C526" s="1"/>
      <c r="D526" s="1">
        <v>6200000</v>
      </c>
      <c r="E526" s="1"/>
      <c r="F526" s="1"/>
      <c r="G526" s="1"/>
      <c r="H526" s="1"/>
      <c r="I526" s="1"/>
    </row>
    <row r="527" spans="1:9" x14ac:dyDescent="0.3">
      <c r="A527" t="s">
        <v>93</v>
      </c>
      <c r="B527" t="s">
        <v>491</v>
      </c>
      <c r="C527" s="1"/>
      <c r="D527" s="1">
        <v>5800000</v>
      </c>
      <c r="E527" s="1"/>
      <c r="F527" s="1"/>
      <c r="G527" s="1"/>
      <c r="H527" s="1"/>
      <c r="I527" s="1"/>
    </row>
    <row r="528" spans="1:9" x14ac:dyDescent="0.3">
      <c r="A528" t="s">
        <v>93</v>
      </c>
      <c r="B528" t="s">
        <v>492</v>
      </c>
      <c r="C528" s="1"/>
      <c r="D528" s="1">
        <v>5600000</v>
      </c>
      <c r="E528" s="1"/>
      <c r="F528" s="1"/>
      <c r="G528" s="1"/>
      <c r="H528" s="1"/>
      <c r="I528" s="1"/>
    </row>
    <row r="529" spans="1:9" x14ac:dyDescent="0.3">
      <c r="A529" t="s">
        <v>93</v>
      </c>
      <c r="B529" t="s">
        <v>493</v>
      </c>
      <c r="C529" s="1"/>
      <c r="D529" s="1">
        <v>3850000</v>
      </c>
      <c r="E529" s="1"/>
      <c r="F529" s="1"/>
      <c r="G529" s="1"/>
      <c r="H529" s="1"/>
      <c r="I529" s="1"/>
    </row>
    <row r="530" spans="1:9" x14ac:dyDescent="0.3">
      <c r="A530" t="s">
        <v>93</v>
      </c>
      <c r="B530" t="s">
        <v>494</v>
      </c>
      <c r="C530" s="1"/>
      <c r="D530" s="1">
        <v>7499000</v>
      </c>
      <c r="E530" s="1"/>
      <c r="F530" s="1"/>
      <c r="G530" s="1"/>
      <c r="H530" s="1"/>
      <c r="I530" s="1"/>
    </row>
    <row r="531" spans="1:9" x14ac:dyDescent="0.3">
      <c r="A531" t="s">
        <v>93</v>
      </c>
      <c r="B531" t="s">
        <v>495</v>
      </c>
      <c r="C531" s="1"/>
      <c r="D531" s="1">
        <v>4800000</v>
      </c>
      <c r="E531" s="1"/>
      <c r="F531" s="1"/>
      <c r="G531" s="1"/>
      <c r="H531" s="1"/>
      <c r="I531" s="1"/>
    </row>
    <row r="532" spans="1:9" x14ac:dyDescent="0.3">
      <c r="A532" t="s">
        <v>93</v>
      </c>
      <c r="B532" t="s">
        <v>496</v>
      </c>
      <c r="C532" s="1"/>
      <c r="D532" s="1">
        <v>3500000</v>
      </c>
      <c r="E532" s="1"/>
      <c r="F532" s="1"/>
      <c r="G532" s="1"/>
      <c r="H532" s="1"/>
      <c r="I532" s="1"/>
    </row>
    <row r="533" spans="1:9" x14ac:dyDescent="0.3">
      <c r="A533" t="s">
        <v>93</v>
      </c>
      <c r="B533" t="s">
        <v>497</v>
      </c>
      <c r="C533" s="1"/>
      <c r="D533" s="1">
        <v>4699000</v>
      </c>
      <c r="E533" s="1"/>
      <c r="F533" s="1"/>
      <c r="G533" s="1"/>
      <c r="H533" s="1"/>
      <c r="I533" s="1"/>
    </row>
    <row r="534" spans="1:9" x14ac:dyDescent="0.3">
      <c r="A534" t="s">
        <v>93</v>
      </c>
      <c r="B534" t="s">
        <v>498</v>
      </c>
      <c r="C534" s="1"/>
      <c r="D534" s="1">
        <v>3400000</v>
      </c>
      <c r="E534" s="1"/>
      <c r="F534" s="1"/>
      <c r="G534" s="1"/>
      <c r="H534" s="1"/>
      <c r="I534" s="1"/>
    </row>
    <row r="535" spans="1:9" x14ac:dyDescent="0.3">
      <c r="A535" t="s">
        <v>93</v>
      </c>
      <c r="B535" t="s">
        <v>499</v>
      </c>
      <c r="C535" s="1"/>
      <c r="D535" s="1">
        <v>4600000</v>
      </c>
      <c r="E535" s="1"/>
      <c r="F535" s="1"/>
      <c r="G535" s="1"/>
      <c r="H535" s="1"/>
      <c r="I535" s="1"/>
    </row>
    <row r="536" spans="1:9" x14ac:dyDescent="0.3">
      <c r="A536" t="s">
        <v>93</v>
      </c>
      <c r="B536" t="s">
        <v>500</v>
      </c>
      <c r="C536" s="1"/>
      <c r="D536" s="1">
        <v>4600000</v>
      </c>
      <c r="E536" s="1"/>
      <c r="F536" s="1"/>
      <c r="G536" s="1"/>
      <c r="H536" s="1"/>
      <c r="I536" s="1"/>
    </row>
    <row r="537" spans="1:9" x14ac:dyDescent="0.3">
      <c r="A537" t="s">
        <v>93</v>
      </c>
      <c r="B537" t="s">
        <v>501</v>
      </c>
      <c r="C537" s="1"/>
      <c r="D537" s="1">
        <v>4250000</v>
      </c>
      <c r="E537" s="1"/>
      <c r="F537" s="1"/>
      <c r="G537" s="1"/>
      <c r="H537" s="1"/>
      <c r="I537" s="1"/>
    </row>
    <row r="538" spans="1:9" x14ac:dyDescent="0.3">
      <c r="A538" t="s">
        <v>93</v>
      </c>
      <c r="B538" t="s">
        <v>502</v>
      </c>
      <c r="C538" s="1"/>
      <c r="D538" s="1">
        <v>6500000</v>
      </c>
      <c r="E538" s="1"/>
      <c r="F538" s="1"/>
      <c r="G538" s="1"/>
      <c r="H538" s="1"/>
      <c r="I538" s="1"/>
    </row>
    <row r="539" spans="1:9" x14ac:dyDescent="0.3">
      <c r="A539" t="s">
        <v>93</v>
      </c>
      <c r="B539" t="s">
        <v>503</v>
      </c>
      <c r="C539" s="1"/>
      <c r="D539" s="1">
        <v>6100000</v>
      </c>
      <c r="E539" s="1"/>
      <c r="F539" s="1"/>
      <c r="G539" s="1"/>
      <c r="H539" s="1"/>
      <c r="I539" s="1"/>
    </row>
    <row r="540" spans="1:9" x14ac:dyDescent="0.3">
      <c r="A540" t="s">
        <v>93</v>
      </c>
      <c r="B540" t="s">
        <v>504</v>
      </c>
      <c r="C540" s="1"/>
      <c r="D540" s="1">
        <v>4800000</v>
      </c>
      <c r="E540" s="1"/>
      <c r="F540" s="1"/>
      <c r="G540" s="1"/>
      <c r="H540" s="1"/>
      <c r="I540" s="1"/>
    </row>
    <row r="541" spans="1:9" x14ac:dyDescent="0.3">
      <c r="A541" t="s">
        <v>93</v>
      </c>
      <c r="B541" t="s">
        <v>505</v>
      </c>
      <c r="C541" s="1"/>
      <c r="D541" s="1">
        <v>5400000</v>
      </c>
      <c r="E541" s="1"/>
      <c r="F541" s="1"/>
      <c r="G541" s="1"/>
      <c r="H541" s="1"/>
      <c r="I541" s="1"/>
    </row>
    <row r="542" spans="1:9" x14ac:dyDescent="0.3">
      <c r="A542" t="s">
        <v>93</v>
      </c>
      <c r="B542" t="s">
        <v>506</v>
      </c>
      <c r="C542" s="1"/>
      <c r="D542" s="1">
        <v>5750000</v>
      </c>
      <c r="E542" s="1"/>
      <c r="F542" s="1"/>
      <c r="G542" s="1"/>
      <c r="H542" s="1"/>
      <c r="I542" s="1"/>
    </row>
    <row r="543" spans="1:9" x14ac:dyDescent="0.3">
      <c r="A543" t="s">
        <v>93</v>
      </c>
      <c r="B543" t="s">
        <v>507</v>
      </c>
      <c r="C543" s="1">
        <v>1</v>
      </c>
      <c r="D543" s="1">
        <v>6400000</v>
      </c>
      <c r="E543" s="1"/>
      <c r="F543" s="1"/>
      <c r="G543" s="1"/>
      <c r="H543" s="1"/>
      <c r="I543" s="1"/>
    </row>
    <row r="544" spans="1:9" x14ac:dyDescent="0.3">
      <c r="A544" t="s">
        <v>93</v>
      </c>
      <c r="B544" t="s">
        <v>508</v>
      </c>
      <c r="C544" s="1">
        <v>2</v>
      </c>
      <c r="D544" s="1">
        <v>7300000</v>
      </c>
      <c r="E544" s="1"/>
      <c r="F544" s="1"/>
      <c r="G544" s="1"/>
      <c r="H544" s="1"/>
      <c r="I544" s="1"/>
    </row>
    <row r="545" spans="1:9" x14ac:dyDescent="0.3">
      <c r="A545" t="s">
        <v>93</v>
      </c>
      <c r="B545" t="s">
        <v>509</v>
      </c>
      <c r="C545" s="1">
        <v>1</v>
      </c>
      <c r="D545" s="1">
        <v>7600000</v>
      </c>
      <c r="E545" s="1"/>
      <c r="F545" s="1"/>
      <c r="G545" s="1"/>
      <c r="H545" s="1"/>
      <c r="I545" s="1"/>
    </row>
    <row r="546" spans="1:9" x14ac:dyDescent="0.3">
      <c r="A546" t="s">
        <v>93</v>
      </c>
      <c r="B546" t="s">
        <v>510</v>
      </c>
      <c r="C546" s="1"/>
      <c r="D546" s="1">
        <v>6000000</v>
      </c>
      <c r="E546" s="1"/>
      <c r="F546" s="1"/>
      <c r="G546" s="1"/>
      <c r="H546" s="1"/>
      <c r="I546" s="1"/>
    </row>
    <row r="547" spans="1:9" x14ac:dyDescent="0.3">
      <c r="A547" t="s">
        <v>93</v>
      </c>
      <c r="B547" t="s">
        <v>168</v>
      </c>
      <c r="C547" s="1">
        <v>1</v>
      </c>
      <c r="D547" s="1">
        <v>11500000</v>
      </c>
      <c r="E547" s="1"/>
      <c r="F547" s="1"/>
      <c r="G547" s="1"/>
      <c r="H547" s="1"/>
      <c r="I547" s="1"/>
    </row>
    <row r="548" spans="1:9" x14ac:dyDescent="0.3">
      <c r="A548" t="s">
        <v>93</v>
      </c>
      <c r="B548" t="s">
        <v>511</v>
      </c>
      <c r="C548" s="1">
        <v>1</v>
      </c>
      <c r="D548" s="1">
        <v>8800000</v>
      </c>
      <c r="E548" s="1"/>
      <c r="F548" s="1"/>
      <c r="G548" s="1"/>
      <c r="H548" s="1"/>
      <c r="I548" s="1"/>
    </row>
    <row r="549" spans="1:9" x14ac:dyDescent="0.3">
      <c r="A549" t="s">
        <v>93</v>
      </c>
      <c r="B549" t="s">
        <v>512</v>
      </c>
      <c r="C549" s="1"/>
      <c r="D549" s="1">
        <v>2700000</v>
      </c>
      <c r="E549" s="1"/>
      <c r="F549" s="1"/>
      <c r="G549" s="1"/>
      <c r="H549" s="1"/>
      <c r="I549" s="1"/>
    </row>
    <row r="550" spans="1:9" x14ac:dyDescent="0.3">
      <c r="A550" t="s">
        <v>93</v>
      </c>
      <c r="B550" t="s">
        <v>513</v>
      </c>
      <c r="C550" s="1"/>
      <c r="D550" s="1">
        <v>2600000</v>
      </c>
      <c r="E550" s="1"/>
      <c r="F550" s="1"/>
      <c r="G550" s="1"/>
      <c r="H550" s="1"/>
      <c r="I550" s="1"/>
    </row>
    <row r="551" spans="1:9" x14ac:dyDescent="0.3">
      <c r="A551" t="s">
        <v>93</v>
      </c>
      <c r="B551" t="s">
        <v>514</v>
      </c>
      <c r="C551" s="1"/>
      <c r="D551" s="1">
        <v>2800000</v>
      </c>
      <c r="E551" s="1"/>
      <c r="F551" s="1"/>
      <c r="G551" s="1"/>
      <c r="H551" s="1"/>
      <c r="I551" s="1"/>
    </row>
    <row r="552" spans="1:9" x14ac:dyDescent="0.3">
      <c r="A552" t="s">
        <v>93</v>
      </c>
      <c r="B552" t="s">
        <v>515</v>
      </c>
      <c r="C552" s="1">
        <v>1</v>
      </c>
      <c r="D552" s="1">
        <v>13900000</v>
      </c>
      <c r="E552" s="1"/>
      <c r="F552" s="1"/>
      <c r="G552" s="1"/>
      <c r="H552" s="1"/>
      <c r="I552" s="1"/>
    </row>
    <row r="553" spans="1:9" x14ac:dyDescent="0.3">
      <c r="A553" t="s">
        <v>93</v>
      </c>
      <c r="B553" t="s">
        <v>516</v>
      </c>
      <c r="C553" s="1"/>
      <c r="D553" s="1">
        <v>10900000</v>
      </c>
      <c r="E553" s="1"/>
      <c r="F553" s="1"/>
      <c r="G553" s="1"/>
      <c r="H553" s="1"/>
      <c r="I553" s="1"/>
    </row>
    <row r="554" spans="1:9" x14ac:dyDescent="0.3">
      <c r="A554" t="s">
        <v>93</v>
      </c>
      <c r="B554" t="s">
        <v>517</v>
      </c>
      <c r="C554" s="1"/>
      <c r="D554" s="1">
        <v>12000000</v>
      </c>
      <c r="E554" s="1"/>
      <c r="F554" s="1"/>
      <c r="G554" s="1"/>
      <c r="H554" s="1"/>
      <c r="I554" s="1"/>
    </row>
    <row r="555" spans="1:9" x14ac:dyDescent="0.3">
      <c r="A555" t="s">
        <v>93</v>
      </c>
      <c r="B555" t="s">
        <v>518</v>
      </c>
      <c r="C555" s="1"/>
      <c r="D555" s="1">
        <v>10000000</v>
      </c>
      <c r="E555" s="1"/>
      <c r="F555" s="1"/>
      <c r="G555" s="1"/>
      <c r="H555" s="1"/>
      <c r="I555" s="1"/>
    </row>
    <row r="556" spans="1:9" x14ac:dyDescent="0.3">
      <c r="A556" t="s">
        <v>93</v>
      </c>
      <c r="B556" t="s">
        <v>519</v>
      </c>
      <c r="C556" s="1"/>
      <c r="D556" s="1">
        <v>14500000</v>
      </c>
      <c r="E556" s="1"/>
      <c r="F556" s="1"/>
      <c r="G556" s="1"/>
      <c r="H556" s="1"/>
      <c r="I556" s="1"/>
    </row>
    <row r="557" spans="1:9" x14ac:dyDescent="0.3">
      <c r="A557" t="s">
        <v>93</v>
      </c>
      <c r="B557" t="s">
        <v>520</v>
      </c>
      <c r="C557" s="1"/>
      <c r="D557" s="1">
        <v>10100000</v>
      </c>
      <c r="E557" s="1"/>
      <c r="F557" s="1"/>
      <c r="G557" s="1"/>
      <c r="H557" s="1"/>
      <c r="I557" s="1"/>
    </row>
    <row r="558" spans="1:9" x14ac:dyDescent="0.3">
      <c r="A558" t="s">
        <v>93</v>
      </c>
      <c r="B558" t="s">
        <v>521</v>
      </c>
      <c r="C558" s="1">
        <v>1</v>
      </c>
      <c r="D558" s="1">
        <v>20500000</v>
      </c>
      <c r="E558" s="1"/>
      <c r="F558" s="1"/>
      <c r="G558" s="1"/>
      <c r="H558" s="1"/>
      <c r="I558" s="1"/>
    </row>
    <row r="559" spans="1:9" x14ac:dyDescent="0.3">
      <c r="A559" t="s">
        <v>93</v>
      </c>
      <c r="B559" t="s">
        <v>522</v>
      </c>
      <c r="C559" s="1">
        <v>2</v>
      </c>
      <c r="D559" s="1">
        <v>21000000</v>
      </c>
      <c r="E559" s="1"/>
      <c r="F559" s="1"/>
      <c r="G559" s="1"/>
      <c r="H559" s="1"/>
      <c r="I559" s="1"/>
    </row>
    <row r="560" spans="1:9" x14ac:dyDescent="0.3">
      <c r="A560" t="s">
        <v>93</v>
      </c>
      <c r="B560" t="s">
        <v>523</v>
      </c>
      <c r="C560" s="1">
        <v>1</v>
      </c>
      <c r="D560" s="1">
        <v>20000000</v>
      </c>
      <c r="E560" s="1"/>
      <c r="F560" s="1"/>
      <c r="G560" s="1"/>
      <c r="H560" s="1"/>
      <c r="I560" s="1"/>
    </row>
    <row r="561" spans="1:9" x14ac:dyDescent="0.3">
      <c r="A561" t="s">
        <v>93</v>
      </c>
      <c r="B561" t="s">
        <v>524</v>
      </c>
      <c r="C561" s="1">
        <v>1</v>
      </c>
      <c r="D561" s="1">
        <v>19900000</v>
      </c>
      <c r="E561" s="1"/>
      <c r="F561" s="1"/>
      <c r="G561" s="1"/>
      <c r="H561" s="1"/>
      <c r="I561" s="1"/>
    </row>
    <row r="562" spans="1:9" x14ac:dyDescent="0.3">
      <c r="A562" t="s">
        <v>93</v>
      </c>
      <c r="B562" t="s">
        <v>525</v>
      </c>
      <c r="C562" s="1">
        <v>1</v>
      </c>
      <c r="D562" s="1">
        <v>16500000</v>
      </c>
      <c r="E562" s="1"/>
      <c r="F562" s="1"/>
      <c r="G562" s="1"/>
      <c r="H562" s="1"/>
      <c r="I562" s="1"/>
    </row>
    <row r="563" spans="1:9" x14ac:dyDescent="0.3">
      <c r="A563" t="s">
        <v>93</v>
      </c>
      <c r="B563" t="s">
        <v>526</v>
      </c>
      <c r="C563" s="1">
        <v>2</v>
      </c>
      <c r="D563" s="1">
        <v>17000000</v>
      </c>
      <c r="E563" s="1"/>
      <c r="F563" s="1"/>
      <c r="G563" s="1"/>
      <c r="H563" s="1"/>
      <c r="I563" s="1"/>
    </row>
    <row r="564" spans="1:9" x14ac:dyDescent="0.3">
      <c r="A564" t="s">
        <v>93</v>
      </c>
      <c r="B564" t="s">
        <v>197</v>
      </c>
      <c r="C564" s="1">
        <v>2</v>
      </c>
      <c r="D564" s="1">
        <v>25500000</v>
      </c>
      <c r="E564" s="1"/>
      <c r="F564" s="1"/>
      <c r="G564" s="1"/>
      <c r="H564" s="1"/>
      <c r="I564" s="1"/>
    </row>
    <row r="565" spans="1:9" x14ac:dyDescent="0.3">
      <c r="A565" t="s">
        <v>93</v>
      </c>
      <c r="B565" t="s">
        <v>527</v>
      </c>
      <c r="C565" s="1">
        <v>1</v>
      </c>
      <c r="D565" s="1">
        <v>20000000</v>
      </c>
      <c r="E565" s="1"/>
      <c r="F565" s="1"/>
      <c r="G565" s="1"/>
      <c r="H565" s="1"/>
      <c r="I565" s="1"/>
    </row>
    <row r="566" spans="1:9" x14ac:dyDescent="0.3">
      <c r="A566" t="s">
        <v>93</v>
      </c>
      <c r="B566" t="s">
        <v>528</v>
      </c>
      <c r="C566" s="1">
        <v>1</v>
      </c>
      <c r="D566" s="1">
        <v>8500000</v>
      </c>
      <c r="E566" s="1"/>
      <c r="F566" s="1"/>
      <c r="G566" s="1"/>
      <c r="H566" s="1"/>
      <c r="I566" s="1"/>
    </row>
    <row r="567" spans="1:9" x14ac:dyDescent="0.3">
      <c r="A567" t="s">
        <v>93</v>
      </c>
      <c r="B567" t="s">
        <v>313</v>
      </c>
      <c r="C567" s="1">
        <v>1</v>
      </c>
      <c r="D567" s="1">
        <v>8500000</v>
      </c>
      <c r="E567" s="1"/>
      <c r="F567" s="1"/>
      <c r="G567" s="1"/>
      <c r="H567" s="1"/>
      <c r="I567" s="1"/>
    </row>
    <row r="568" spans="1:9" x14ac:dyDescent="0.3">
      <c r="A568" t="s">
        <v>93</v>
      </c>
      <c r="B568" t="s">
        <v>529</v>
      </c>
      <c r="C568" s="1">
        <v>1</v>
      </c>
      <c r="D568" s="1">
        <v>9500000</v>
      </c>
      <c r="E568" s="1"/>
      <c r="F568" s="1"/>
      <c r="G568" s="1"/>
      <c r="H568" s="1"/>
      <c r="I568" s="1"/>
    </row>
    <row r="569" spans="1:9" x14ac:dyDescent="0.3">
      <c r="A569" t="s">
        <v>10</v>
      </c>
      <c r="B569" t="s">
        <v>179</v>
      </c>
      <c r="C569" s="1">
        <v>1</v>
      </c>
      <c r="D569" s="1">
        <v>13500000</v>
      </c>
      <c r="E569" s="1"/>
      <c r="F569" s="1"/>
      <c r="G569" s="1"/>
      <c r="H569" s="1"/>
      <c r="I569" s="1"/>
    </row>
    <row r="570" spans="1:9" x14ac:dyDescent="0.3">
      <c r="A570" t="s">
        <v>10</v>
      </c>
      <c r="B570" t="s">
        <v>530</v>
      </c>
      <c r="C570" s="1">
        <v>4</v>
      </c>
      <c r="D570" s="1">
        <v>17100000</v>
      </c>
      <c r="E570" s="1"/>
      <c r="F570" s="1"/>
      <c r="G570" s="1"/>
      <c r="H570" s="1"/>
      <c r="I570" s="1">
        <v>4</v>
      </c>
    </row>
    <row r="571" spans="1:9" x14ac:dyDescent="0.3">
      <c r="A571" t="s">
        <v>10</v>
      </c>
      <c r="B571" t="s">
        <v>531</v>
      </c>
      <c r="C571" s="1">
        <v>1</v>
      </c>
      <c r="D571" s="1">
        <v>14000000</v>
      </c>
      <c r="E571" s="1"/>
      <c r="F571" s="1"/>
      <c r="G571" s="1"/>
      <c r="H571" s="1"/>
      <c r="I571" s="1"/>
    </row>
    <row r="572" spans="1:9" x14ac:dyDescent="0.3">
      <c r="A572" t="s">
        <v>10</v>
      </c>
      <c r="B572" t="s">
        <v>532</v>
      </c>
      <c r="C572" s="1">
        <v>1</v>
      </c>
      <c r="D572" s="1"/>
      <c r="E572" s="1"/>
      <c r="F572" s="1"/>
      <c r="G572" s="1"/>
      <c r="H572" s="1"/>
      <c r="I572" s="1"/>
    </row>
    <row r="573" spans="1:9" x14ac:dyDescent="0.3">
      <c r="A573" t="s">
        <v>10</v>
      </c>
      <c r="B573" t="s">
        <v>533</v>
      </c>
      <c r="C573" s="1"/>
      <c r="D573" s="1">
        <v>25300000</v>
      </c>
      <c r="E573" s="1"/>
      <c r="F573" s="1"/>
      <c r="G573" s="1"/>
      <c r="H573" s="1"/>
      <c r="I573" s="1"/>
    </row>
    <row r="574" spans="1:9" x14ac:dyDescent="0.3">
      <c r="A574" t="s">
        <v>10</v>
      </c>
      <c r="B574" t="s">
        <v>534</v>
      </c>
      <c r="C574" s="1">
        <v>1</v>
      </c>
      <c r="D574" s="1">
        <v>2000000</v>
      </c>
      <c r="E574" s="1"/>
      <c r="F574" s="1"/>
      <c r="G574" s="1"/>
      <c r="H574" s="1"/>
      <c r="I574" s="1"/>
    </row>
    <row r="575" spans="1:9" x14ac:dyDescent="0.3">
      <c r="A575" t="s">
        <v>10</v>
      </c>
      <c r="B575" t="s">
        <v>535</v>
      </c>
      <c r="C575" s="1"/>
      <c r="D575" s="1">
        <v>1800000</v>
      </c>
      <c r="E575" s="1"/>
      <c r="F575" s="1"/>
      <c r="G575" s="1"/>
      <c r="H575" s="1"/>
      <c r="I575" s="1"/>
    </row>
    <row r="576" spans="1:9" x14ac:dyDescent="0.3">
      <c r="A576" t="s">
        <v>10</v>
      </c>
      <c r="B576" t="s">
        <v>536</v>
      </c>
      <c r="C576" s="1">
        <v>11</v>
      </c>
      <c r="D576" s="1">
        <v>1700000</v>
      </c>
      <c r="E576" s="1"/>
      <c r="F576" s="1"/>
      <c r="G576" s="1"/>
      <c r="H576" s="1"/>
      <c r="I576" s="1"/>
    </row>
    <row r="577" spans="1:9" x14ac:dyDescent="0.3">
      <c r="A577" t="s">
        <v>10</v>
      </c>
      <c r="B577" t="s">
        <v>537</v>
      </c>
      <c r="C577" s="1">
        <v>15</v>
      </c>
      <c r="D577" s="1">
        <v>2200000</v>
      </c>
      <c r="E577" s="1"/>
      <c r="F577" s="1"/>
      <c r="G577" s="1"/>
      <c r="H577" s="1"/>
      <c r="I577" s="1"/>
    </row>
    <row r="578" spans="1:9" x14ac:dyDescent="0.3">
      <c r="A578" t="s">
        <v>10</v>
      </c>
      <c r="B578" t="s">
        <v>538</v>
      </c>
      <c r="C578" s="1">
        <v>1</v>
      </c>
      <c r="D578" s="1">
        <v>2200000</v>
      </c>
      <c r="E578" s="1"/>
      <c r="F578" s="1"/>
      <c r="G578" s="1"/>
      <c r="H578" s="1"/>
      <c r="I578" s="1"/>
    </row>
    <row r="579" spans="1:9" x14ac:dyDescent="0.3">
      <c r="A579" t="s">
        <v>10</v>
      </c>
      <c r="B579" t="s">
        <v>539</v>
      </c>
      <c r="C579" s="1"/>
      <c r="D579" s="1">
        <v>5499000</v>
      </c>
      <c r="E579" s="1"/>
      <c r="F579" s="1"/>
      <c r="G579" s="1"/>
      <c r="H579" s="1"/>
      <c r="I579" s="1"/>
    </row>
    <row r="580" spans="1:9" x14ac:dyDescent="0.3">
      <c r="A580" t="s">
        <v>10</v>
      </c>
      <c r="B580" t="s">
        <v>540</v>
      </c>
      <c r="C580" s="1">
        <v>2</v>
      </c>
      <c r="D580" s="1">
        <v>1500000</v>
      </c>
      <c r="E580" s="1"/>
      <c r="F580" s="1"/>
      <c r="G580" s="1"/>
      <c r="H580" s="1"/>
      <c r="I580" s="1"/>
    </row>
    <row r="581" spans="1:9" x14ac:dyDescent="0.3">
      <c r="A581" t="s">
        <v>10</v>
      </c>
      <c r="B581" t="s">
        <v>541</v>
      </c>
      <c r="C581" s="1">
        <v>1</v>
      </c>
      <c r="D581" s="1">
        <v>6799000</v>
      </c>
      <c r="E581" s="1"/>
      <c r="F581" s="1"/>
      <c r="G581" s="1"/>
      <c r="H581" s="1"/>
      <c r="I581" s="1"/>
    </row>
    <row r="582" spans="1:9" x14ac:dyDescent="0.3">
      <c r="A582" t="s">
        <v>10</v>
      </c>
      <c r="B582" t="s">
        <v>542</v>
      </c>
      <c r="C582" s="1">
        <v>8</v>
      </c>
      <c r="D582" s="1">
        <v>2000000</v>
      </c>
      <c r="E582" s="1"/>
      <c r="F582" s="1"/>
      <c r="G582" s="1"/>
      <c r="H582" s="1"/>
      <c r="I582" s="1"/>
    </row>
    <row r="583" spans="1:9" x14ac:dyDescent="0.3">
      <c r="A583" t="s">
        <v>10</v>
      </c>
      <c r="B583" t="s">
        <v>543</v>
      </c>
      <c r="C583" s="1"/>
      <c r="D583" s="1">
        <v>1800000</v>
      </c>
      <c r="E583" s="1"/>
      <c r="F583" s="1"/>
      <c r="G583" s="1"/>
      <c r="H583" s="1"/>
      <c r="I583" s="1"/>
    </row>
    <row r="584" spans="1:9" x14ac:dyDescent="0.3">
      <c r="A584" t="s">
        <v>10</v>
      </c>
      <c r="B584" t="s">
        <v>544</v>
      </c>
      <c r="C584" s="1">
        <v>3</v>
      </c>
      <c r="D584" s="1">
        <v>2500000</v>
      </c>
      <c r="E584" s="1"/>
      <c r="F584" s="1"/>
      <c r="G584" s="1"/>
      <c r="H584" s="1"/>
      <c r="I584" s="1"/>
    </row>
    <row r="585" spans="1:9" x14ac:dyDescent="0.3">
      <c r="A585" t="s">
        <v>10</v>
      </c>
      <c r="B585" t="s">
        <v>545</v>
      </c>
      <c r="C585" s="1"/>
      <c r="D585" s="1">
        <v>9499000</v>
      </c>
      <c r="E585" s="1"/>
      <c r="F585" s="1"/>
      <c r="G585" s="1"/>
      <c r="H585" s="1"/>
      <c r="I585" s="1"/>
    </row>
    <row r="586" spans="1:9" x14ac:dyDescent="0.3">
      <c r="A586" t="s">
        <v>10</v>
      </c>
      <c r="B586" t="s">
        <v>546</v>
      </c>
      <c r="C586" s="1"/>
      <c r="D586" s="1">
        <v>2200000</v>
      </c>
      <c r="E586" s="1"/>
      <c r="F586" s="1"/>
      <c r="G586" s="1"/>
      <c r="H586" s="1"/>
      <c r="I586" s="1"/>
    </row>
    <row r="587" spans="1:9" x14ac:dyDescent="0.3">
      <c r="A587" t="s">
        <v>10</v>
      </c>
      <c r="B587" t="s">
        <v>547</v>
      </c>
      <c r="C587" s="1">
        <v>1</v>
      </c>
      <c r="D587" s="1">
        <v>2500000</v>
      </c>
      <c r="E587" s="1"/>
      <c r="F587" s="1"/>
      <c r="G587" s="1"/>
      <c r="H587" s="1"/>
      <c r="I587" s="1"/>
    </row>
    <row r="588" spans="1:9" x14ac:dyDescent="0.3">
      <c r="A588" t="s">
        <v>10</v>
      </c>
      <c r="B588" t="s">
        <v>548</v>
      </c>
      <c r="C588" s="1"/>
      <c r="D588" s="1">
        <v>3900000</v>
      </c>
      <c r="E588" s="1"/>
      <c r="F588" s="1"/>
      <c r="G588" s="1"/>
      <c r="H588" s="1"/>
      <c r="I588" s="1"/>
    </row>
    <row r="589" spans="1:9" x14ac:dyDescent="0.3">
      <c r="A589" t="s">
        <v>10</v>
      </c>
      <c r="B589" t="s">
        <v>548</v>
      </c>
      <c r="C589" s="1">
        <v>1</v>
      </c>
      <c r="D589" s="1">
        <v>2100000</v>
      </c>
      <c r="E589" s="1"/>
      <c r="F589" s="1"/>
      <c r="G589" s="1"/>
      <c r="H589" s="1"/>
      <c r="I589" s="1"/>
    </row>
    <row r="590" spans="1:9" x14ac:dyDescent="0.3">
      <c r="A590" t="s">
        <v>10</v>
      </c>
      <c r="B590" t="s">
        <v>548</v>
      </c>
      <c r="C590" s="1"/>
      <c r="D590" s="1">
        <v>2400000</v>
      </c>
      <c r="E590" s="1"/>
      <c r="F590" s="1"/>
      <c r="G590" s="1"/>
      <c r="H590" s="1"/>
      <c r="I590" s="1"/>
    </row>
    <row r="591" spans="1:9" x14ac:dyDescent="0.3">
      <c r="A591" t="s">
        <v>10</v>
      </c>
      <c r="B591" t="s">
        <v>549</v>
      </c>
      <c r="C591" s="1"/>
      <c r="D591" s="1">
        <v>12199000</v>
      </c>
      <c r="E591" s="1"/>
      <c r="F591" s="1"/>
      <c r="G591" s="1"/>
      <c r="H591" s="1"/>
      <c r="I591" s="1"/>
    </row>
    <row r="592" spans="1:9" x14ac:dyDescent="0.3">
      <c r="A592" t="s">
        <v>10</v>
      </c>
      <c r="B592" t="s">
        <v>550</v>
      </c>
      <c r="C592" s="1"/>
      <c r="D592" s="1">
        <v>2200000</v>
      </c>
      <c r="E592" s="1"/>
      <c r="F592" s="1"/>
      <c r="G592" s="1"/>
      <c r="H592" s="1"/>
      <c r="I592" s="1"/>
    </row>
    <row r="593" spans="1:9" x14ac:dyDescent="0.3">
      <c r="A593" t="s">
        <v>10</v>
      </c>
      <c r="B593" t="s">
        <v>551</v>
      </c>
      <c r="C593" s="1">
        <v>1</v>
      </c>
      <c r="D593" s="1">
        <v>2600000</v>
      </c>
      <c r="E593" s="1"/>
      <c r="F593" s="1"/>
      <c r="G593" s="1"/>
      <c r="H593" s="1"/>
      <c r="I593" s="1"/>
    </row>
    <row r="594" spans="1:9" x14ac:dyDescent="0.3">
      <c r="A594" t="s">
        <v>10</v>
      </c>
      <c r="B594" t="s">
        <v>552</v>
      </c>
      <c r="C594" s="1"/>
      <c r="D594" s="1">
        <v>2200000</v>
      </c>
      <c r="E594" s="1"/>
      <c r="F594" s="1"/>
      <c r="G594" s="1"/>
      <c r="H594" s="1"/>
      <c r="I594" s="1"/>
    </row>
    <row r="595" spans="1:9" x14ac:dyDescent="0.3">
      <c r="A595" t="s">
        <v>10</v>
      </c>
      <c r="B595" t="s">
        <v>553</v>
      </c>
      <c r="C595" s="1">
        <v>1</v>
      </c>
      <c r="D595" s="1">
        <v>3700000</v>
      </c>
      <c r="E595" s="1"/>
      <c r="F595" s="1"/>
      <c r="G595" s="1"/>
      <c r="H595" s="1"/>
      <c r="I595" s="1"/>
    </row>
    <row r="596" spans="1:9" x14ac:dyDescent="0.3">
      <c r="A596" t="s">
        <v>10</v>
      </c>
      <c r="B596" t="s">
        <v>554</v>
      </c>
      <c r="C596" s="1"/>
      <c r="D596" s="1">
        <v>3300000</v>
      </c>
      <c r="E596" s="1"/>
      <c r="F596" s="1"/>
      <c r="G596" s="1"/>
      <c r="H596" s="1"/>
      <c r="I596" s="1"/>
    </row>
    <row r="597" spans="1:9" x14ac:dyDescent="0.3">
      <c r="A597" t="s">
        <v>10</v>
      </c>
      <c r="B597" t="s">
        <v>555</v>
      </c>
      <c r="C597" s="1"/>
      <c r="D597" s="1">
        <v>2900000</v>
      </c>
      <c r="E597" s="1"/>
      <c r="F597" s="1"/>
      <c r="G597" s="1"/>
      <c r="H597" s="1"/>
      <c r="I597" s="1"/>
    </row>
    <row r="598" spans="1:9" x14ac:dyDescent="0.3">
      <c r="A598" t="s">
        <v>10</v>
      </c>
      <c r="B598" t="s">
        <v>556</v>
      </c>
      <c r="C598" s="1"/>
      <c r="D598" s="1">
        <v>2900000</v>
      </c>
      <c r="E598" s="1"/>
      <c r="F598" s="1"/>
      <c r="G598" s="1"/>
      <c r="H598" s="1"/>
      <c r="I598" s="1"/>
    </row>
    <row r="599" spans="1:9" x14ac:dyDescent="0.3">
      <c r="A599" t="s">
        <v>10</v>
      </c>
      <c r="B599" t="s">
        <v>557</v>
      </c>
      <c r="C599" s="1">
        <v>0</v>
      </c>
      <c r="D599" s="1">
        <v>3900000</v>
      </c>
      <c r="E599" s="1"/>
      <c r="F599" s="1"/>
      <c r="G599" s="1"/>
      <c r="H599" s="1"/>
      <c r="I599" s="1"/>
    </row>
    <row r="600" spans="1:9" x14ac:dyDescent="0.3">
      <c r="A600" t="s">
        <v>10</v>
      </c>
      <c r="B600" t="s">
        <v>558</v>
      </c>
      <c r="C600" s="1"/>
      <c r="D600" s="1">
        <v>3200000</v>
      </c>
      <c r="E600" s="1"/>
      <c r="F600" s="1"/>
      <c r="G600" s="1"/>
      <c r="H600" s="1"/>
      <c r="I600" s="1"/>
    </row>
    <row r="601" spans="1:9" x14ac:dyDescent="0.3">
      <c r="A601" t="s">
        <v>10</v>
      </c>
      <c r="B601" t="s">
        <v>559</v>
      </c>
      <c r="C601" s="1"/>
      <c r="D601" s="1">
        <v>3600000</v>
      </c>
      <c r="E601" s="1"/>
      <c r="F601" s="1"/>
      <c r="G601" s="1"/>
      <c r="H601" s="1"/>
      <c r="I601" s="1"/>
    </row>
    <row r="602" spans="1:9" x14ac:dyDescent="0.3">
      <c r="A602" t="s">
        <v>10</v>
      </c>
      <c r="B602" t="s">
        <v>560</v>
      </c>
      <c r="C602" s="1"/>
      <c r="D602" s="1">
        <v>3400000</v>
      </c>
      <c r="E602" s="1"/>
      <c r="F602" s="1"/>
      <c r="G602" s="1"/>
      <c r="H602" s="1"/>
      <c r="I602" s="1"/>
    </row>
    <row r="603" spans="1:9" x14ac:dyDescent="0.3">
      <c r="A603" t="s">
        <v>10</v>
      </c>
      <c r="B603" t="s">
        <v>561</v>
      </c>
      <c r="C603" s="1">
        <v>1</v>
      </c>
      <c r="D603" s="1">
        <v>2600000</v>
      </c>
      <c r="E603" s="1"/>
      <c r="F603" s="1"/>
      <c r="G603" s="1"/>
      <c r="H603" s="1"/>
      <c r="I603" s="1"/>
    </row>
    <row r="604" spans="1:9" x14ac:dyDescent="0.3">
      <c r="A604" t="s">
        <v>10</v>
      </c>
      <c r="B604" t="s">
        <v>562</v>
      </c>
      <c r="C604" s="1"/>
      <c r="D604" s="1">
        <v>2200000</v>
      </c>
      <c r="E604" s="1"/>
      <c r="F604" s="1"/>
      <c r="G604" s="1"/>
      <c r="H604" s="1"/>
      <c r="I604" s="1"/>
    </row>
    <row r="605" spans="1:9" x14ac:dyDescent="0.3">
      <c r="A605" t="s">
        <v>10</v>
      </c>
      <c r="B605" t="s">
        <v>563</v>
      </c>
      <c r="C605" s="1"/>
      <c r="D605" s="1">
        <v>2200000</v>
      </c>
      <c r="E605" s="1"/>
      <c r="F605" s="1"/>
      <c r="G605" s="1"/>
      <c r="H605" s="1"/>
      <c r="I605" s="1"/>
    </row>
    <row r="606" spans="1:9" x14ac:dyDescent="0.3">
      <c r="A606" t="s">
        <v>10</v>
      </c>
      <c r="B606" t="s">
        <v>564</v>
      </c>
      <c r="C606" s="1"/>
      <c r="D606" s="1">
        <v>2200000</v>
      </c>
      <c r="E606" s="1"/>
      <c r="F606" s="1"/>
      <c r="G606" s="1"/>
      <c r="H606" s="1"/>
      <c r="I606" s="1"/>
    </row>
    <row r="607" spans="1:9" x14ac:dyDescent="0.3">
      <c r="A607" t="s">
        <v>10</v>
      </c>
      <c r="B607" t="s">
        <v>565</v>
      </c>
      <c r="C607" s="1"/>
      <c r="D607" s="1">
        <v>2400000</v>
      </c>
      <c r="E607" s="1"/>
      <c r="F607" s="1"/>
      <c r="G607" s="1"/>
      <c r="H607" s="1"/>
      <c r="I607" s="1"/>
    </row>
    <row r="608" spans="1:9" x14ac:dyDescent="0.3">
      <c r="A608" t="s">
        <v>10</v>
      </c>
      <c r="B608" t="s">
        <v>566</v>
      </c>
      <c r="C608" s="1">
        <v>1</v>
      </c>
      <c r="D608" s="1">
        <v>7500000</v>
      </c>
      <c r="E608" s="1"/>
      <c r="F608" s="1"/>
      <c r="G608" s="1"/>
      <c r="H608" s="1"/>
      <c r="I608" s="1"/>
    </row>
    <row r="609" spans="1:9" x14ac:dyDescent="0.3">
      <c r="A609" t="s">
        <v>10</v>
      </c>
      <c r="B609" t="s">
        <v>567</v>
      </c>
      <c r="C609" s="1"/>
      <c r="D609" s="1">
        <v>6000000</v>
      </c>
      <c r="E609" s="1"/>
      <c r="F609" s="1"/>
      <c r="G609" s="1"/>
      <c r="H609" s="1"/>
      <c r="I609" s="1"/>
    </row>
    <row r="610" spans="1:9" x14ac:dyDescent="0.3">
      <c r="A610" t="s">
        <v>10</v>
      </c>
      <c r="B610" t="s">
        <v>568</v>
      </c>
      <c r="C610" s="1">
        <v>1</v>
      </c>
      <c r="D610" s="1">
        <v>2700000</v>
      </c>
      <c r="E610" s="1"/>
      <c r="F610" s="1"/>
      <c r="G610" s="1"/>
      <c r="H610" s="1"/>
      <c r="I610" s="1"/>
    </row>
    <row r="611" spans="1:9" x14ac:dyDescent="0.3">
      <c r="A611" t="s">
        <v>10</v>
      </c>
      <c r="B611" t="s">
        <v>569</v>
      </c>
      <c r="C611" s="1">
        <v>1</v>
      </c>
      <c r="D611" s="1">
        <v>4500000</v>
      </c>
      <c r="E611" s="1"/>
      <c r="F611" s="1"/>
      <c r="G611" s="1"/>
      <c r="H611" s="1"/>
      <c r="I611" s="1"/>
    </row>
    <row r="612" spans="1:9" x14ac:dyDescent="0.3">
      <c r="A612" t="s">
        <v>10</v>
      </c>
      <c r="B612" t="s">
        <v>570</v>
      </c>
      <c r="C612" s="1">
        <v>3</v>
      </c>
      <c r="D612" s="1">
        <v>3100000</v>
      </c>
      <c r="E612" s="1"/>
      <c r="F612" s="1"/>
      <c r="G612" s="1"/>
      <c r="H612" s="1"/>
      <c r="I612" s="1"/>
    </row>
    <row r="613" spans="1:9" x14ac:dyDescent="0.3">
      <c r="A613" t="s">
        <v>10</v>
      </c>
      <c r="B613" t="s">
        <v>571</v>
      </c>
      <c r="C613" s="1"/>
      <c r="D613" s="1">
        <v>2700000</v>
      </c>
      <c r="E613" s="1"/>
      <c r="F613" s="1"/>
      <c r="G613" s="1"/>
      <c r="H613" s="1"/>
      <c r="I613" s="1"/>
    </row>
    <row r="614" spans="1:9" x14ac:dyDescent="0.3">
      <c r="A614" t="s">
        <v>10</v>
      </c>
      <c r="B614" t="s">
        <v>572</v>
      </c>
      <c r="C614" s="1"/>
      <c r="D614" s="1">
        <v>3100000</v>
      </c>
      <c r="E614" s="1"/>
      <c r="F614" s="1"/>
      <c r="G614" s="1"/>
      <c r="H614" s="1"/>
      <c r="I614" s="1"/>
    </row>
    <row r="615" spans="1:9" x14ac:dyDescent="0.3">
      <c r="A615" t="s">
        <v>10</v>
      </c>
      <c r="B615" t="s">
        <v>573</v>
      </c>
      <c r="C615" s="1"/>
      <c r="D615" s="1">
        <v>2700000</v>
      </c>
      <c r="E615" s="1"/>
      <c r="F615" s="1"/>
      <c r="G615" s="1"/>
      <c r="H615" s="1"/>
      <c r="I615" s="1"/>
    </row>
    <row r="616" spans="1:9" x14ac:dyDescent="0.3">
      <c r="A616" t="s">
        <v>10</v>
      </c>
      <c r="B616" t="s">
        <v>574</v>
      </c>
      <c r="C616" s="1">
        <v>2</v>
      </c>
      <c r="D616" s="1">
        <v>3100000</v>
      </c>
      <c r="E616" s="1"/>
      <c r="F616" s="1"/>
      <c r="G616" s="1"/>
      <c r="H616" s="1"/>
      <c r="I616" s="1"/>
    </row>
    <row r="617" spans="1:9" x14ac:dyDescent="0.3">
      <c r="A617" t="s">
        <v>10</v>
      </c>
      <c r="B617" t="s">
        <v>575</v>
      </c>
      <c r="C617" s="1"/>
      <c r="D617" s="1">
        <v>2700000</v>
      </c>
      <c r="E617" s="1"/>
      <c r="F617" s="1"/>
      <c r="G617" s="1"/>
      <c r="H617" s="1"/>
      <c r="I617" s="1"/>
    </row>
    <row r="618" spans="1:9" x14ac:dyDescent="0.3">
      <c r="A618" t="s">
        <v>10</v>
      </c>
      <c r="B618" t="s">
        <v>576</v>
      </c>
      <c r="C618" s="1"/>
      <c r="D618" s="1">
        <v>5000000</v>
      </c>
      <c r="E618" s="1"/>
      <c r="F618" s="1"/>
      <c r="G618" s="1"/>
      <c r="H618" s="1"/>
      <c r="I618" s="1"/>
    </row>
    <row r="619" spans="1:9" x14ac:dyDescent="0.3">
      <c r="A619" t="s">
        <v>10</v>
      </c>
      <c r="B619" t="s">
        <v>577</v>
      </c>
      <c r="C619" s="1"/>
      <c r="D619" s="1">
        <v>4700000</v>
      </c>
      <c r="E619" s="1"/>
      <c r="F619" s="1"/>
      <c r="G619" s="1"/>
      <c r="H619" s="1"/>
      <c r="I619" s="1"/>
    </row>
    <row r="620" spans="1:9" x14ac:dyDescent="0.3">
      <c r="A620" t="s">
        <v>10</v>
      </c>
      <c r="B620" t="s">
        <v>578</v>
      </c>
      <c r="C620" s="1"/>
      <c r="D620" s="1">
        <v>4000000</v>
      </c>
      <c r="E620" s="1"/>
      <c r="F620" s="1"/>
      <c r="G620" s="1"/>
      <c r="H620" s="1"/>
      <c r="I620" s="1"/>
    </row>
    <row r="621" spans="1:9" x14ac:dyDescent="0.3">
      <c r="A621" t="s">
        <v>10</v>
      </c>
      <c r="B621" t="s">
        <v>579</v>
      </c>
      <c r="C621" s="1">
        <v>1</v>
      </c>
      <c r="D621" s="1">
        <v>4200000</v>
      </c>
      <c r="E621" s="1"/>
      <c r="F621" s="1"/>
      <c r="G621" s="1"/>
      <c r="H621" s="1"/>
      <c r="I621" s="1">
        <v>1</v>
      </c>
    </row>
    <row r="622" spans="1:9" x14ac:dyDescent="0.3">
      <c r="A622" t="s">
        <v>10</v>
      </c>
      <c r="B622" t="s">
        <v>580</v>
      </c>
      <c r="C622" s="1"/>
      <c r="D622" s="1">
        <v>3900000</v>
      </c>
      <c r="E622" s="1"/>
      <c r="F622" s="1"/>
      <c r="G622" s="1"/>
      <c r="H622" s="1"/>
      <c r="I622" s="1"/>
    </row>
    <row r="623" spans="1:9" x14ac:dyDescent="0.3">
      <c r="A623" t="s">
        <v>10</v>
      </c>
      <c r="B623" t="s">
        <v>581</v>
      </c>
      <c r="C623" s="1"/>
      <c r="D623" s="1">
        <v>3500000</v>
      </c>
      <c r="E623" s="1"/>
      <c r="F623" s="1"/>
      <c r="G623" s="1"/>
      <c r="H623" s="1"/>
      <c r="I623" s="1"/>
    </row>
    <row r="624" spans="1:9" x14ac:dyDescent="0.3">
      <c r="A624" t="s">
        <v>10</v>
      </c>
      <c r="B624" t="s">
        <v>582</v>
      </c>
      <c r="C624" s="1"/>
      <c r="D624" s="1">
        <v>3500000</v>
      </c>
      <c r="E624" s="1"/>
      <c r="F624" s="1"/>
      <c r="G624" s="1"/>
      <c r="H624" s="1"/>
      <c r="I624" s="1"/>
    </row>
    <row r="625" spans="1:9" x14ac:dyDescent="0.3">
      <c r="A625" t="s">
        <v>10</v>
      </c>
      <c r="B625" t="s">
        <v>583</v>
      </c>
      <c r="C625" s="1">
        <v>1</v>
      </c>
      <c r="D625" s="1">
        <v>4300000</v>
      </c>
      <c r="E625" s="1"/>
      <c r="F625" s="1"/>
      <c r="G625" s="1"/>
      <c r="H625" s="1"/>
      <c r="I625" s="1"/>
    </row>
    <row r="626" spans="1:9" x14ac:dyDescent="0.3">
      <c r="A626" t="s">
        <v>10</v>
      </c>
      <c r="B626" t="s">
        <v>584</v>
      </c>
      <c r="C626" s="1"/>
      <c r="D626" s="1">
        <v>4500000</v>
      </c>
      <c r="E626" s="1"/>
      <c r="F626" s="1"/>
      <c r="G626" s="1"/>
      <c r="H626" s="1"/>
      <c r="I626" s="1"/>
    </row>
    <row r="627" spans="1:9" x14ac:dyDescent="0.3">
      <c r="A627" t="s">
        <v>10</v>
      </c>
      <c r="B627" t="s">
        <v>585</v>
      </c>
      <c r="C627" s="1">
        <v>2</v>
      </c>
      <c r="D627" s="1">
        <v>4500000</v>
      </c>
      <c r="E627" s="1"/>
      <c r="F627" s="1"/>
      <c r="G627" s="1"/>
      <c r="H627" s="1"/>
      <c r="I627" s="1"/>
    </row>
    <row r="628" spans="1:9" x14ac:dyDescent="0.3">
      <c r="A628" t="s">
        <v>10</v>
      </c>
      <c r="B628" t="s">
        <v>586</v>
      </c>
      <c r="C628" s="1">
        <v>2</v>
      </c>
      <c r="D628" s="1">
        <v>5100000</v>
      </c>
      <c r="E628" s="1"/>
      <c r="F628" s="1"/>
      <c r="G628" s="1"/>
      <c r="H628" s="1"/>
      <c r="I628" s="1"/>
    </row>
    <row r="629" spans="1:9" x14ac:dyDescent="0.3">
      <c r="A629" t="s">
        <v>10</v>
      </c>
      <c r="B629" t="s">
        <v>587</v>
      </c>
      <c r="C629" s="1"/>
      <c r="D629" s="1">
        <v>5100000</v>
      </c>
      <c r="E629" s="1"/>
      <c r="F629" s="1"/>
      <c r="G629" s="1"/>
      <c r="H629" s="1"/>
      <c r="I629" s="1"/>
    </row>
    <row r="630" spans="1:9" x14ac:dyDescent="0.3">
      <c r="A630" t="s">
        <v>10</v>
      </c>
      <c r="B630" t="s">
        <v>588</v>
      </c>
      <c r="C630" s="1"/>
      <c r="D630" s="1">
        <v>4700000</v>
      </c>
      <c r="E630" s="1"/>
      <c r="F630" s="1"/>
      <c r="G630" s="1"/>
      <c r="H630" s="1"/>
      <c r="I630" s="1"/>
    </row>
    <row r="631" spans="1:9" x14ac:dyDescent="0.3">
      <c r="A631" t="s">
        <v>10</v>
      </c>
      <c r="B631" t="s">
        <v>589</v>
      </c>
      <c r="C631" s="1"/>
      <c r="D631" s="1">
        <v>8000000</v>
      </c>
      <c r="E631" s="1"/>
      <c r="F631" s="1"/>
      <c r="G631" s="1"/>
      <c r="H631" s="1"/>
      <c r="I631" s="1"/>
    </row>
    <row r="632" spans="1:9" x14ac:dyDescent="0.3">
      <c r="A632" t="s">
        <v>10</v>
      </c>
      <c r="B632" t="s">
        <v>590</v>
      </c>
      <c r="C632" s="1">
        <v>2</v>
      </c>
      <c r="D632" s="1">
        <v>5100000</v>
      </c>
      <c r="E632" s="1"/>
      <c r="F632" s="1"/>
      <c r="G632" s="1"/>
      <c r="H632" s="1"/>
      <c r="I632" s="1"/>
    </row>
    <row r="633" spans="1:9" x14ac:dyDescent="0.3">
      <c r="A633" t="s">
        <v>10</v>
      </c>
      <c r="B633" t="s">
        <v>591</v>
      </c>
      <c r="C633" s="1"/>
      <c r="D633" s="1">
        <v>4700000</v>
      </c>
      <c r="E633" s="1"/>
      <c r="F633" s="1"/>
      <c r="G633" s="1"/>
      <c r="H633" s="1"/>
      <c r="I633" s="1"/>
    </row>
    <row r="634" spans="1:9" x14ac:dyDescent="0.3">
      <c r="A634" t="s">
        <v>10</v>
      </c>
      <c r="B634" t="s">
        <v>592</v>
      </c>
      <c r="C634" s="1"/>
      <c r="D634" s="1">
        <v>4500000</v>
      </c>
      <c r="E634" s="1"/>
      <c r="F634" s="1"/>
      <c r="G634" s="1"/>
      <c r="H634" s="1"/>
      <c r="I634" s="1"/>
    </row>
    <row r="635" spans="1:9" x14ac:dyDescent="0.3">
      <c r="A635" t="s">
        <v>10</v>
      </c>
      <c r="B635" t="s">
        <v>593</v>
      </c>
      <c r="C635" s="1"/>
      <c r="D635" s="1">
        <v>6500000</v>
      </c>
      <c r="E635" s="1"/>
      <c r="F635" s="1"/>
      <c r="G635" s="1"/>
      <c r="H635" s="1"/>
      <c r="I635" s="1"/>
    </row>
    <row r="636" spans="1:9" x14ac:dyDescent="0.3">
      <c r="A636" t="s">
        <v>10</v>
      </c>
      <c r="B636" t="s">
        <v>594</v>
      </c>
      <c r="C636" s="1"/>
      <c r="D636" s="1">
        <v>9000000</v>
      </c>
      <c r="E636" s="1"/>
      <c r="F636" s="1"/>
      <c r="G636" s="1"/>
      <c r="H636" s="1"/>
      <c r="I636" s="1"/>
    </row>
    <row r="637" spans="1:9" x14ac:dyDescent="0.3">
      <c r="A637" t="s">
        <v>10</v>
      </c>
      <c r="B637" t="s">
        <v>595</v>
      </c>
      <c r="C637" s="1"/>
      <c r="D637" s="1">
        <v>4100000</v>
      </c>
      <c r="E637" s="1"/>
      <c r="F637" s="1"/>
      <c r="G637" s="1"/>
      <c r="H637" s="1"/>
      <c r="I637" s="1"/>
    </row>
    <row r="638" spans="1:9" x14ac:dyDescent="0.3">
      <c r="A638" t="s">
        <v>10</v>
      </c>
      <c r="B638" t="s">
        <v>596</v>
      </c>
      <c r="C638" s="1">
        <v>2</v>
      </c>
      <c r="D638" s="1">
        <v>4900000</v>
      </c>
      <c r="E638" s="1"/>
      <c r="F638" s="1"/>
      <c r="G638" s="1"/>
      <c r="H638" s="1"/>
      <c r="I638" s="1"/>
    </row>
    <row r="639" spans="1:9" x14ac:dyDescent="0.3">
      <c r="A639" t="s">
        <v>10</v>
      </c>
      <c r="B639" t="s">
        <v>597</v>
      </c>
      <c r="C639" s="1"/>
      <c r="D639" s="1">
        <v>9000000</v>
      </c>
      <c r="E639" s="1"/>
      <c r="F639" s="1"/>
      <c r="G639" s="1"/>
      <c r="H639" s="1"/>
      <c r="I639" s="1"/>
    </row>
    <row r="640" spans="1:9" x14ac:dyDescent="0.3">
      <c r="A640" t="s">
        <v>10</v>
      </c>
      <c r="B640" t="s">
        <v>598</v>
      </c>
      <c r="C640" s="1"/>
      <c r="D640" s="1">
        <v>4100000</v>
      </c>
      <c r="E640" s="1"/>
      <c r="F640" s="1"/>
      <c r="G640" s="1"/>
      <c r="H640" s="1"/>
      <c r="I640" s="1"/>
    </row>
    <row r="641" spans="1:9" x14ac:dyDescent="0.3">
      <c r="A641" t="s">
        <v>10</v>
      </c>
      <c r="B641" t="s">
        <v>599</v>
      </c>
      <c r="C641" s="1"/>
      <c r="D641" s="1">
        <v>5600000</v>
      </c>
      <c r="E641" s="1"/>
      <c r="F641" s="1"/>
      <c r="G641" s="1"/>
      <c r="H641" s="1"/>
      <c r="I641" s="1"/>
    </row>
    <row r="642" spans="1:9" x14ac:dyDescent="0.3">
      <c r="A642" t="s">
        <v>10</v>
      </c>
      <c r="B642" t="s">
        <v>600</v>
      </c>
      <c r="C642" s="1"/>
      <c r="D642" s="1">
        <v>8000000</v>
      </c>
      <c r="E642" s="1"/>
      <c r="F642" s="1"/>
      <c r="G642" s="1"/>
      <c r="H642" s="1"/>
      <c r="I642" s="1"/>
    </row>
    <row r="643" spans="1:9" x14ac:dyDescent="0.3">
      <c r="A643" t="s">
        <v>10</v>
      </c>
      <c r="B643" t="s">
        <v>601</v>
      </c>
      <c r="C643" s="1"/>
      <c r="D643" s="1">
        <v>3800000</v>
      </c>
      <c r="E643" s="1"/>
      <c r="F643" s="1"/>
      <c r="G643" s="1"/>
      <c r="H643" s="1"/>
      <c r="I643" s="1"/>
    </row>
    <row r="644" spans="1:9" x14ac:dyDescent="0.3">
      <c r="A644" t="s">
        <v>10</v>
      </c>
      <c r="B644" t="s">
        <v>602</v>
      </c>
      <c r="C644" s="1"/>
      <c r="D644" s="1">
        <v>8000000</v>
      </c>
      <c r="E644" s="1"/>
      <c r="F644" s="1"/>
      <c r="G644" s="1"/>
      <c r="H644" s="1"/>
      <c r="I644" s="1"/>
    </row>
    <row r="645" spans="1:9" x14ac:dyDescent="0.3">
      <c r="A645" t="s">
        <v>10</v>
      </c>
      <c r="B645" t="s">
        <v>603</v>
      </c>
      <c r="C645" s="1"/>
      <c r="D645" s="1">
        <v>3400000</v>
      </c>
      <c r="E645" s="1"/>
      <c r="F645" s="1"/>
      <c r="G645" s="1"/>
      <c r="H645" s="1"/>
      <c r="I645" s="1"/>
    </row>
    <row r="646" spans="1:9" x14ac:dyDescent="0.3">
      <c r="A646" t="s">
        <v>10</v>
      </c>
      <c r="B646" t="s">
        <v>604</v>
      </c>
      <c r="C646" s="1"/>
      <c r="D646" s="1">
        <v>8000000</v>
      </c>
      <c r="E646" s="1"/>
      <c r="F646" s="1"/>
      <c r="G646" s="1"/>
      <c r="H646" s="1"/>
      <c r="I646" s="1"/>
    </row>
    <row r="647" spans="1:9" x14ac:dyDescent="0.3">
      <c r="A647" t="s">
        <v>10</v>
      </c>
      <c r="B647" t="s">
        <v>605</v>
      </c>
      <c r="C647" s="1">
        <v>1</v>
      </c>
      <c r="D647" s="1">
        <v>5500000</v>
      </c>
      <c r="E647" s="1"/>
      <c r="F647" s="1"/>
      <c r="G647" s="1"/>
      <c r="H647" s="1"/>
      <c r="I647" s="1"/>
    </row>
    <row r="648" spans="1:9" x14ac:dyDescent="0.3">
      <c r="A648" t="s">
        <v>10</v>
      </c>
      <c r="B648" t="s">
        <v>606</v>
      </c>
      <c r="C648" s="1"/>
      <c r="D648" s="1">
        <v>3650000</v>
      </c>
      <c r="E648" s="1"/>
      <c r="F648" s="1"/>
      <c r="G648" s="1"/>
      <c r="H648" s="1"/>
      <c r="I648" s="1"/>
    </row>
    <row r="649" spans="1:9" x14ac:dyDescent="0.3">
      <c r="A649" t="s">
        <v>10</v>
      </c>
      <c r="B649" t="s">
        <v>607</v>
      </c>
      <c r="C649" s="1"/>
      <c r="D649" s="1">
        <v>8000000</v>
      </c>
      <c r="E649" s="1"/>
      <c r="F649" s="1"/>
      <c r="G649" s="1"/>
      <c r="H649" s="1"/>
      <c r="I649" s="1"/>
    </row>
    <row r="650" spans="1:9" x14ac:dyDescent="0.3">
      <c r="A650" t="s">
        <v>10</v>
      </c>
      <c r="B650" t="s">
        <v>608</v>
      </c>
      <c r="C650" s="1"/>
      <c r="D650" s="1">
        <v>3400000</v>
      </c>
      <c r="E650" s="1"/>
      <c r="F650" s="1"/>
      <c r="G650" s="1"/>
      <c r="H650" s="1"/>
      <c r="I650" s="1"/>
    </row>
    <row r="651" spans="1:9" x14ac:dyDescent="0.3">
      <c r="A651" t="s">
        <v>10</v>
      </c>
      <c r="B651" t="s">
        <v>609</v>
      </c>
      <c r="C651" s="1">
        <v>1</v>
      </c>
      <c r="D651" s="1">
        <v>8950000</v>
      </c>
      <c r="E651" s="1"/>
      <c r="F651" s="1"/>
      <c r="G651" s="1"/>
      <c r="H651" s="1"/>
      <c r="I651" s="1"/>
    </row>
    <row r="652" spans="1:9" x14ac:dyDescent="0.3">
      <c r="A652" t="s">
        <v>10</v>
      </c>
      <c r="B652" t="s">
        <v>610</v>
      </c>
      <c r="C652" s="1"/>
      <c r="D652" s="1">
        <v>6600000</v>
      </c>
      <c r="E652" s="1"/>
      <c r="F652" s="1"/>
      <c r="G652" s="1"/>
      <c r="H652" s="1"/>
      <c r="I652" s="1"/>
    </row>
    <row r="653" spans="1:9" x14ac:dyDescent="0.3">
      <c r="A653" t="s">
        <v>10</v>
      </c>
      <c r="B653" t="s">
        <v>611</v>
      </c>
      <c r="C653" s="1"/>
      <c r="D653" s="1">
        <v>8800000</v>
      </c>
      <c r="E653" s="1"/>
      <c r="F653" s="1"/>
      <c r="G653" s="1"/>
      <c r="H653" s="1"/>
      <c r="I653" s="1"/>
    </row>
    <row r="654" spans="1:9" x14ac:dyDescent="0.3">
      <c r="A654" t="s">
        <v>10</v>
      </c>
      <c r="B654" t="s">
        <v>612</v>
      </c>
      <c r="C654" s="1">
        <v>1</v>
      </c>
      <c r="D654" s="1">
        <v>7600000</v>
      </c>
      <c r="E654" s="1"/>
      <c r="F654" s="1"/>
      <c r="G654" s="1"/>
      <c r="H654" s="1"/>
      <c r="I654" s="1"/>
    </row>
    <row r="655" spans="1:9" x14ac:dyDescent="0.3">
      <c r="A655" t="s">
        <v>10</v>
      </c>
      <c r="B655" t="s">
        <v>613</v>
      </c>
      <c r="C655" s="1">
        <v>1</v>
      </c>
      <c r="D655" s="1">
        <v>7100000</v>
      </c>
      <c r="E655" s="1"/>
      <c r="F655" s="1"/>
      <c r="G655" s="1"/>
      <c r="H655" s="1"/>
      <c r="I655" s="1"/>
    </row>
    <row r="656" spans="1:9" x14ac:dyDescent="0.3">
      <c r="A656" t="s">
        <v>10</v>
      </c>
      <c r="B656" t="s">
        <v>614</v>
      </c>
      <c r="C656" s="1"/>
      <c r="D656" s="1">
        <v>6600000</v>
      </c>
      <c r="E656" s="1"/>
      <c r="F656" s="1"/>
      <c r="G656" s="1"/>
      <c r="H656" s="1"/>
      <c r="I656" s="1"/>
    </row>
    <row r="657" spans="1:9" x14ac:dyDescent="0.3">
      <c r="A657" t="s">
        <v>10</v>
      </c>
      <c r="B657" t="s">
        <v>615</v>
      </c>
      <c r="C657" s="1"/>
      <c r="D657" s="1">
        <v>12000000</v>
      </c>
      <c r="E657" s="1"/>
      <c r="F657" s="1"/>
      <c r="G657" s="1"/>
      <c r="H657" s="1"/>
      <c r="I657" s="1"/>
    </row>
    <row r="658" spans="1:9" x14ac:dyDescent="0.3">
      <c r="A658" t="s">
        <v>10</v>
      </c>
      <c r="B658" t="s">
        <v>616</v>
      </c>
      <c r="C658" s="1">
        <v>1</v>
      </c>
      <c r="D658" s="1">
        <v>6600000</v>
      </c>
      <c r="E658" s="1"/>
      <c r="F658" s="1"/>
      <c r="G658" s="1"/>
      <c r="H658" s="1"/>
      <c r="I658" s="1"/>
    </row>
    <row r="659" spans="1:9" x14ac:dyDescent="0.3">
      <c r="A659" t="s">
        <v>10</v>
      </c>
      <c r="B659" t="s">
        <v>617</v>
      </c>
      <c r="C659" s="1">
        <v>1</v>
      </c>
      <c r="D659" s="1">
        <v>8950000</v>
      </c>
      <c r="E659" s="1"/>
      <c r="F659" s="1"/>
      <c r="G659" s="1"/>
      <c r="H659" s="1"/>
      <c r="I659" s="1"/>
    </row>
    <row r="660" spans="1:9" x14ac:dyDescent="0.3">
      <c r="A660" t="s">
        <v>10</v>
      </c>
      <c r="B660" t="s">
        <v>618</v>
      </c>
      <c r="C660" s="1"/>
      <c r="D660" s="1">
        <v>7800000</v>
      </c>
      <c r="E660" s="1"/>
      <c r="F660" s="1"/>
      <c r="G660" s="1"/>
      <c r="H660" s="1"/>
      <c r="I660" s="1"/>
    </row>
    <row r="661" spans="1:9" x14ac:dyDescent="0.3">
      <c r="A661" t="s">
        <v>10</v>
      </c>
      <c r="B661" t="s">
        <v>619</v>
      </c>
      <c r="C661" s="1">
        <v>1</v>
      </c>
      <c r="D661" s="1">
        <v>6800000</v>
      </c>
      <c r="E661" s="1"/>
      <c r="F661" s="1"/>
      <c r="G661" s="1"/>
      <c r="H661" s="1"/>
      <c r="I661" s="1"/>
    </row>
    <row r="662" spans="1:9" x14ac:dyDescent="0.3">
      <c r="A662" t="s">
        <v>10</v>
      </c>
      <c r="B662" t="s">
        <v>620</v>
      </c>
      <c r="C662" s="1"/>
      <c r="D662" s="1">
        <v>6700000</v>
      </c>
      <c r="E662" s="1"/>
      <c r="F662" s="1"/>
      <c r="G662" s="1"/>
      <c r="H662" s="1"/>
      <c r="I662" s="1">
        <v>1</v>
      </c>
    </row>
    <row r="663" spans="1:9" x14ac:dyDescent="0.3">
      <c r="A663" t="s">
        <v>10</v>
      </c>
      <c r="B663" t="s">
        <v>621</v>
      </c>
      <c r="C663" s="1"/>
      <c r="D663" s="1">
        <v>5700000</v>
      </c>
      <c r="E663" s="1"/>
      <c r="F663" s="1"/>
      <c r="G663" s="1"/>
      <c r="H663" s="1"/>
      <c r="I663" s="1"/>
    </row>
    <row r="664" spans="1:9" x14ac:dyDescent="0.3">
      <c r="A664" t="s">
        <v>10</v>
      </c>
      <c r="B664" t="s">
        <v>622</v>
      </c>
      <c r="C664" s="1"/>
      <c r="D664" s="1">
        <v>11000000</v>
      </c>
      <c r="E664" s="1"/>
      <c r="F664" s="1"/>
      <c r="G664" s="1"/>
      <c r="H664" s="1"/>
      <c r="I664" s="1"/>
    </row>
    <row r="665" spans="1:9" x14ac:dyDescent="0.3">
      <c r="A665" t="s">
        <v>10</v>
      </c>
      <c r="B665" t="s">
        <v>623</v>
      </c>
      <c r="C665" s="1">
        <v>1</v>
      </c>
      <c r="D665" s="1">
        <v>5700000</v>
      </c>
      <c r="E665" s="1"/>
      <c r="F665" s="1"/>
      <c r="G665" s="1"/>
      <c r="H665" s="1"/>
      <c r="I665" s="1"/>
    </row>
    <row r="666" spans="1:9" x14ac:dyDescent="0.3">
      <c r="A666" t="s">
        <v>10</v>
      </c>
      <c r="B666" t="s">
        <v>624</v>
      </c>
      <c r="C666" s="1"/>
      <c r="D666" s="1">
        <v>5800000</v>
      </c>
      <c r="E666" s="1"/>
      <c r="F666" s="1"/>
      <c r="G666" s="1"/>
      <c r="H666" s="1"/>
      <c r="I666" s="1"/>
    </row>
    <row r="667" spans="1:9" x14ac:dyDescent="0.3">
      <c r="A667" t="s">
        <v>10</v>
      </c>
      <c r="B667" t="s">
        <v>625</v>
      </c>
      <c r="C667" s="1"/>
      <c r="D667" s="1">
        <v>7500000</v>
      </c>
      <c r="E667" s="1"/>
      <c r="F667" s="1"/>
      <c r="G667" s="1"/>
      <c r="H667" s="1"/>
      <c r="I667" s="1"/>
    </row>
    <row r="668" spans="1:9" x14ac:dyDescent="0.3">
      <c r="A668" t="s">
        <v>10</v>
      </c>
      <c r="B668" t="s">
        <v>626</v>
      </c>
      <c r="C668" s="1"/>
      <c r="D668" s="1">
        <v>5800000</v>
      </c>
      <c r="E668" s="1"/>
      <c r="F668" s="1"/>
      <c r="G668" s="1"/>
      <c r="H668" s="1"/>
      <c r="I668" s="1"/>
    </row>
    <row r="669" spans="1:9" x14ac:dyDescent="0.3">
      <c r="A669" t="s">
        <v>10</v>
      </c>
      <c r="B669" t="s">
        <v>627</v>
      </c>
      <c r="C669" s="1"/>
      <c r="D669" s="1">
        <v>6000000</v>
      </c>
      <c r="E669" s="1"/>
      <c r="F669" s="1"/>
      <c r="G669" s="1"/>
      <c r="H669" s="1"/>
      <c r="I669" s="1"/>
    </row>
    <row r="670" spans="1:9" x14ac:dyDescent="0.3">
      <c r="A670" t="s">
        <v>10</v>
      </c>
      <c r="B670" t="s">
        <v>628</v>
      </c>
      <c r="C670" s="1">
        <v>1</v>
      </c>
      <c r="D670" s="1">
        <v>7000000</v>
      </c>
      <c r="E670" s="1"/>
      <c r="F670" s="1"/>
      <c r="G670" s="1"/>
      <c r="H670" s="1"/>
      <c r="I670" s="1"/>
    </row>
    <row r="671" spans="1:9" x14ac:dyDescent="0.3">
      <c r="A671" t="s">
        <v>10</v>
      </c>
      <c r="B671" t="s">
        <v>629</v>
      </c>
      <c r="C671" s="1">
        <v>1</v>
      </c>
      <c r="D671" s="1">
        <v>7500000</v>
      </c>
      <c r="E671" s="1"/>
      <c r="F671" s="1"/>
      <c r="G671" s="1"/>
      <c r="H671" s="1"/>
      <c r="I671" s="1"/>
    </row>
    <row r="672" spans="1:9" x14ac:dyDescent="0.3">
      <c r="A672" t="s">
        <v>10</v>
      </c>
      <c r="B672" t="s">
        <v>162</v>
      </c>
      <c r="C672" s="1">
        <v>1</v>
      </c>
      <c r="D672" s="1">
        <v>5400000</v>
      </c>
      <c r="E672" s="1"/>
      <c r="F672" s="1"/>
      <c r="G672" s="1"/>
      <c r="H672" s="1"/>
      <c r="I672" s="1"/>
    </row>
    <row r="673" spans="1:9" x14ac:dyDescent="0.3">
      <c r="A673" t="s">
        <v>10</v>
      </c>
      <c r="B673" t="s">
        <v>630</v>
      </c>
      <c r="C673" s="1">
        <v>1</v>
      </c>
      <c r="D673" s="1">
        <v>9900000</v>
      </c>
      <c r="E673" s="1"/>
      <c r="F673" s="1"/>
      <c r="G673" s="1"/>
      <c r="H673" s="1"/>
      <c r="I673" s="1"/>
    </row>
    <row r="674" spans="1:9" x14ac:dyDescent="0.3">
      <c r="A674" t="s">
        <v>10</v>
      </c>
      <c r="B674" t="s">
        <v>341</v>
      </c>
      <c r="C674" s="1"/>
      <c r="D674" s="1">
        <v>9400000</v>
      </c>
      <c r="E674" s="1"/>
      <c r="F674" s="1"/>
      <c r="G674" s="1"/>
      <c r="H674" s="1"/>
      <c r="I674" s="1"/>
    </row>
    <row r="675" spans="1:9" x14ac:dyDescent="0.3">
      <c r="A675" t="s">
        <v>10</v>
      </c>
      <c r="B675" t="s">
        <v>631</v>
      </c>
      <c r="C675" s="1">
        <v>2</v>
      </c>
      <c r="D675" s="1">
        <v>10200000</v>
      </c>
      <c r="E675" s="1"/>
      <c r="F675" s="1"/>
      <c r="G675" s="1"/>
      <c r="H675" s="1"/>
      <c r="I675" s="1"/>
    </row>
    <row r="676" spans="1:9" x14ac:dyDescent="0.3">
      <c r="A676" t="s">
        <v>10</v>
      </c>
      <c r="B676" t="s">
        <v>632</v>
      </c>
      <c r="C676" s="1"/>
      <c r="D676" s="1">
        <v>9400000</v>
      </c>
      <c r="E676" s="1"/>
      <c r="F676" s="1"/>
      <c r="G676" s="1"/>
      <c r="H676" s="1"/>
      <c r="I676" s="1"/>
    </row>
    <row r="677" spans="1:9" x14ac:dyDescent="0.3">
      <c r="A677" t="s">
        <v>10</v>
      </c>
      <c r="B677" t="s">
        <v>633</v>
      </c>
      <c r="C677" s="1">
        <v>1</v>
      </c>
      <c r="D677" s="1">
        <v>10000000</v>
      </c>
      <c r="E677" s="1"/>
      <c r="F677" s="1"/>
      <c r="G677" s="1"/>
      <c r="H677" s="1"/>
      <c r="I677" s="1"/>
    </row>
    <row r="678" spans="1:9" x14ac:dyDescent="0.3">
      <c r="A678" t="s">
        <v>10</v>
      </c>
      <c r="B678" t="s">
        <v>634</v>
      </c>
      <c r="C678" s="1">
        <v>1</v>
      </c>
      <c r="D678" s="1">
        <v>9700000</v>
      </c>
      <c r="E678" s="1"/>
      <c r="F678" s="1"/>
      <c r="G678" s="1"/>
      <c r="H678" s="1"/>
      <c r="I678" s="1"/>
    </row>
    <row r="679" spans="1:9" x14ac:dyDescent="0.3">
      <c r="A679" t="s">
        <v>10</v>
      </c>
      <c r="B679" t="s">
        <v>635</v>
      </c>
      <c r="C679" s="1">
        <v>2</v>
      </c>
      <c r="D679" s="1">
        <v>8950000</v>
      </c>
      <c r="E679" s="1"/>
      <c r="F679" s="1"/>
      <c r="G679" s="1"/>
      <c r="H679" s="1"/>
      <c r="I679" s="1"/>
    </row>
    <row r="680" spans="1:9" x14ac:dyDescent="0.3">
      <c r="A680" t="s">
        <v>10</v>
      </c>
      <c r="B680" t="s">
        <v>636</v>
      </c>
      <c r="C680" s="1"/>
      <c r="D680" s="1">
        <v>10300000</v>
      </c>
      <c r="E680" s="1"/>
      <c r="F680" s="1"/>
      <c r="G680" s="1"/>
      <c r="H680" s="1"/>
      <c r="I680" s="1"/>
    </row>
    <row r="681" spans="1:9" x14ac:dyDescent="0.3">
      <c r="A681" t="s">
        <v>10</v>
      </c>
      <c r="B681" t="s">
        <v>637</v>
      </c>
      <c r="C681" s="1">
        <v>1</v>
      </c>
      <c r="D681" s="1">
        <v>10800000</v>
      </c>
      <c r="E681" s="1"/>
      <c r="F681" s="1"/>
      <c r="G681" s="1"/>
      <c r="H681" s="1"/>
      <c r="I681" s="1"/>
    </row>
    <row r="682" spans="1:9" x14ac:dyDescent="0.3">
      <c r="A682" t="s">
        <v>10</v>
      </c>
      <c r="B682" t="s">
        <v>638</v>
      </c>
      <c r="C682" s="1"/>
      <c r="D682" s="1">
        <v>2400000</v>
      </c>
      <c r="E682" s="1"/>
      <c r="F682" s="1"/>
      <c r="G682" s="1"/>
      <c r="H682" s="1"/>
      <c r="I682" s="1"/>
    </row>
    <row r="683" spans="1:9" x14ac:dyDescent="0.3">
      <c r="A683" t="s">
        <v>10</v>
      </c>
      <c r="B683" t="s">
        <v>639</v>
      </c>
      <c r="C683" s="1"/>
      <c r="D683" s="1">
        <v>1800000</v>
      </c>
      <c r="E683" s="1"/>
      <c r="F683" s="1"/>
      <c r="G683" s="1"/>
      <c r="H683" s="1"/>
      <c r="I683" s="1"/>
    </row>
    <row r="684" spans="1:9" x14ac:dyDescent="0.3">
      <c r="A684" t="s">
        <v>10</v>
      </c>
      <c r="B684" t="s">
        <v>640</v>
      </c>
      <c r="C684" s="1">
        <v>3</v>
      </c>
      <c r="D684" s="1">
        <v>2400000</v>
      </c>
      <c r="E684" s="1"/>
      <c r="F684" s="1"/>
      <c r="G684" s="1"/>
      <c r="H684" s="1"/>
      <c r="I684" s="1"/>
    </row>
    <row r="685" spans="1:9" x14ac:dyDescent="0.3">
      <c r="A685" t="s">
        <v>10</v>
      </c>
      <c r="B685" t="s">
        <v>641</v>
      </c>
      <c r="C685" s="1"/>
      <c r="D685" s="1">
        <v>2400000</v>
      </c>
      <c r="E685" s="1"/>
      <c r="F685" s="1"/>
      <c r="G685" s="1"/>
      <c r="H685" s="1"/>
      <c r="I685" s="1"/>
    </row>
    <row r="686" spans="1:9" x14ac:dyDescent="0.3">
      <c r="A686" t="s">
        <v>10</v>
      </c>
      <c r="B686" t="s">
        <v>642</v>
      </c>
      <c r="C686" s="1">
        <v>1</v>
      </c>
      <c r="D686" s="1"/>
      <c r="E686" s="1"/>
      <c r="F686" s="1"/>
      <c r="G686" s="1"/>
      <c r="H686" s="1"/>
      <c r="I686" s="1"/>
    </row>
    <row r="687" spans="1:9" x14ac:dyDescent="0.3">
      <c r="A687" t="s">
        <v>10</v>
      </c>
      <c r="B687" t="s">
        <v>643</v>
      </c>
      <c r="C687" s="1">
        <v>2</v>
      </c>
      <c r="D687" s="1"/>
      <c r="E687" s="1"/>
      <c r="F687" s="1"/>
      <c r="G687" s="1"/>
      <c r="H687" s="1"/>
      <c r="I687" s="1"/>
    </row>
    <row r="688" spans="1:9" x14ac:dyDescent="0.3">
      <c r="A688" t="s">
        <v>10</v>
      </c>
      <c r="B688" t="s">
        <v>644</v>
      </c>
      <c r="C688" s="1">
        <v>1</v>
      </c>
      <c r="D688" s="1">
        <v>2400000</v>
      </c>
      <c r="E688" s="1"/>
      <c r="F688" s="1"/>
      <c r="G688" s="1"/>
      <c r="H688" s="1"/>
      <c r="I688" s="1"/>
    </row>
    <row r="689" spans="1:9" x14ac:dyDescent="0.3">
      <c r="A689" t="s">
        <v>10</v>
      </c>
      <c r="B689" t="s">
        <v>645</v>
      </c>
      <c r="C689" s="1">
        <v>1</v>
      </c>
      <c r="D689" s="1">
        <v>2650000</v>
      </c>
      <c r="E689" s="1"/>
      <c r="F689" s="1"/>
      <c r="G689" s="1"/>
      <c r="H689" s="1"/>
      <c r="I689" s="1"/>
    </row>
    <row r="690" spans="1:9" x14ac:dyDescent="0.3">
      <c r="A690" t="s">
        <v>10</v>
      </c>
      <c r="B690" t="s">
        <v>646</v>
      </c>
      <c r="C690" s="1">
        <v>1</v>
      </c>
      <c r="D690" s="1">
        <v>11000000</v>
      </c>
      <c r="E690" s="1"/>
      <c r="F690" s="1"/>
      <c r="G690" s="1"/>
      <c r="H690" s="1"/>
      <c r="I690" s="1"/>
    </row>
    <row r="691" spans="1:9" x14ac:dyDescent="0.3">
      <c r="A691" t="s">
        <v>10</v>
      </c>
      <c r="B691" t="s">
        <v>647</v>
      </c>
      <c r="C691" s="1">
        <v>2</v>
      </c>
      <c r="D691" s="1">
        <v>16500000</v>
      </c>
      <c r="E691" s="1"/>
      <c r="F691" s="1"/>
      <c r="G691" s="1"/>
      <c r="H691" s="1"/>
      <c r="I691" s="1"/>
    </row>
    <row r="692" spans="1:9" x14ac:dyDescent="0.3">
      <c r="A692" t="s">
        <v>10</v>
      </c>
      <c r="B692" t="s">
        <v>163</v>
      </c>
      <c r="C692" s="1">
        <v>1</v>
      </c>
      <c r="D692" s="1">
        <v>10500000</v>
      </c>
      <c r="E692" s="1"/>
      <c r="F692" s="1"/>
      <c r="G692" s="1"/>
      <c r="H692" s="1"/>
      <c r="I692" s="1"/>
    </row>
    <row r="693" spans="1:9" x14ac:dyDescent="0.3">
      <c r="A693" t="s">
        <v>10</v>
      </c>
      <c r="B693" t="s">
        <v>648</v>
      </c>
      <c r="C693" s="1"/>
      <c r="D693" s="1">
        <v>20500000</v>
      </c>
      <c r="E693" s="1"/>
      <c r="F693" s="1"/>
      <c r="G693" s="1"/>
      <c r="H693" s="1"/>
      <c r="I693" s="1"/>
    </row>
    <row r="694" spans="1:9" x14ac:dyDescent="0.3">
      <c r="A694" t="s">
        <v>10</v>
      </c>
      <c r="B694" t="s">
        <v>649</v>
      </c>
      <c r="C694" s="1">
        <v>4</v>
      </c>
      <c r="D694" s="1">
        <v>11000000</v>
      </c>
      <c r="E694" s="1"/>
      <c r="F694" s="1"/>
      <c r="G694" s="1"/>
      <c r="H694" s="1"/>
      <c r="I694" s="1"/>
    </row>
    <row r="695" spans="1:9" x14ac:dyDescent="0.3">
      <c r="A695" t="s">
        <v>10</v>
      </c>
      <c r="B695" t="s">
        <v>650</v>
      </c>
      <c r="C695" s="1"/>
      <c r="D695" s="1">
        <v>18500000</v>
      </c>
      <c r="E695" s="1"/>
      <c r="F695" s="1"/>
      <c r="G695" s="1"/>
      <c r="H695" s="1"/>
      <c r="I695" s="1"/>
    </row>
    <row r="696" spans="1:9" x14ac:dyDescent="0.3">
      <c r="A696" t="s">
        <v>10</v>
      </c>
      <c r="B696" t="s">
        <v>80</v>
      </c>
      <c r="C696" s="1">
        <v>1</v>
      </c>
      <c r="D696" s="1">
        <v>8000000</v>
      </c>
      <c r="E696" s="1"/>
      <c r="F696" s="1"/>
      <c r="G696" s="1"/>
      <c r="H696" s="1"/>
      <c r="I696" s="1"/>
    </row>
    <row r="697" spans="1:9" x14ac:dyDescent="0.3">
      <c r="A697" t="s">
        <v>10</v>
      </c>
      <c r="B697" t="s">
        <v>80</v>
      </c>
      <c r="C697" s="1"/>
      <c r="D697" s="1">
        <v>8100000</v>
      </c>
      <c r="E697" s="1"/>
      <c r="F697" s="1"/>
      <c r="G697" s="1"/>
      <c r="H697" s="1"/>
      <c r="I697" s="1"/>
    </row>
    <row r="698" spans="1:9" x14ac:dyDescent="0.3">
      <c r="A698" t="s">
        <v>10</v>
      </c>
      <c r="B698" t="s">
        <v>651</v>
      </c>
      <c r="C698" s="1"/>
      <c r="D698" s="1">
        <v>18500000</v>
      </c>
      <c r="E698" s="1"/>
      <c r="F698" s="1"/>
      <c r="G698" s="1"/>
      <c r="H698" s="1"/>
      <c r="I698" s="1"/>
    </row>
    <row r="699" spans="1:9" x14ac:dyDescent="0.3">
      <c r="A699" t="s">
        <v>10</v>
      </c>
      <c r="B699" t="s">
        <v>652</v>
      </c>
      <c r="C699" s="1">
        <v>1</v>
      </c>
      <c r="D699" s="1">
        <v>9500000</v>
      </c>
      <c r="E699" s="1"/>
      <c r="F699" s="1"/>
      <c r="G699" s="1"/>
      <c r="H699" s="1"/>
      <c r="I699" s="1"/>
    </row>
    <row r="700" spans="1:9" x14ac:dyDescent="0.3">
      <c r="A700" t="s">
        <v>10</v>
      </c>
      <c r="B700" t="s">
        <v>254</v>
      </c>
      <c r="C700" s="1">
        <v>2</v>
      </c>
      <c r="D700" s="1">
        <v>13500000</v>
      </c>
      <c r="E700" s="1"/>
      <c r="F700" s="1"/>
      <c r="G700" s="1"/>
      <c r="H700" s="1"/>
      <c r="I700" s="1"/>
    </row>
    <row r="701" spans="1:9" x14ac:dyDescent="0.3">
      <c r="A701" t="s">
        <v>10</v>
      </c>
      <c r="B701" t="s">
        <v>653</v>
      </c>
      <c r="C701" s="1">
        <v>1</v>
      </c>
      <c r="D701" s="1">
        <v>14000000</v>
      </c>
      <c r="E701" s="1"/>
      <c r="F701" s="1"/>
      <c r="G701" s="1"/>
      <c r="H701" s="1"/>
      <c r="I701" s="1"/>
    </row>
    <row r="702" spans="1:9" x14ac:dyDescent="0.3">
      <c r="A702" t="s">
        <v>10</v>
      </c>
      <c r="B702" t="s">
        <v>654</v>
      </c>
      <c r="C702" s="1"/>
      <c r="D702" s="1">
        <v>20000000</v>
      </c>
      <c r="E702" s="1"/>
      <c r="F702" s="1"/>
      <c r="G702" s="1"/>
      <c r="H702" s="1"/>
      <c r="I702" s="1"/>
    </row>
    <row r="703" spans="1:9" x14ac:dyDescent="0.3">
      <c r="A703" t="s">
        <v>10</v>
      </c>
      <c r="B703" t="s">
        <v>60</v>
      </c>
      <c r="C703" s="1">
        <v>2</v>
      </c>
      <c r="D703" s="1">
        <v>9500000</v>
      </c>
      <c r="E703" s="1"/>
      <c r="F703" s="1"/>
      <c r="G703" s="1"/>
      <c r="H703" s="1"/>
      <c r="I703" s="1"/>
    </row>
    <row r="704" spans="1:9" x14ac:dyDescent="0.3">
      <c r="A704" t="s">
        <v>10</v>
      </c>
      <c r="B704" t="s">
        <v>60</v>
      </c>
      <c r="C704" s="1">
        <v>3</v>
      </c>
      <c r="D704" s="1">
        <v>10500000</v>
      </c>
      <c r="E704" s="1"/>
      <c r="F704" s="1"/>
      <c r="G704" s="1"/>
      <c r="H704" s="1"/>
      <c r="I704" s="1">
        <v>3</v>
      </c>
    </row>
    <row r="705" spans="1:9" x14ac:dyDescent="0.3">
      <c r="A705" t="s">
        <v>10</v>
      </c>
      <c r="B705" t="s">
        <v>655</v>
      </c>
      <c r="C705" s="1">
        <v>8</v>
      </c>
      <c r="D705" s="1">
        <v>15500000</v>
      </c>
      <c r="E705" s="1"/>
      <c r="F705" s="1"/>
      <c r="G705" s="1"/>
      <c r="H705" s="1"/>
      <c r="I705" s="1"/>
    </row>
    <row r="706" spans="1:9" x14ac:dyDescent="0.3">
      <c r="A706" t="s">
        <v>10</v>
      </c>
      <c r="B706" t="s">
        <v>656</v>
      </c>
      <c r="C706" s="1">
        <v>2</v>
      </c>
      <c r="D706" s="1">
        <v>19500000</v>
      </c>
      <c r="E706" s="1"/>
      <c r="F706" s="1"/>
      <c r="G706" s="1"/>
      <c r="H706" s="1"/>
      <c r="I706" s="1"/>
    </row>
    <row r="707" spans="1:9" x14ac:dyDescent="0.3">
      <c r="A707" t="s">
        <v>10</v>
      </c>
      <c r="B707" t="s">
        <v>657</v>
      </c>
      <c r="C707" s="1">
        <v>1</v>
      </c>
      <c r="D707" s="1">
        <v>19000000</v>
      </c>
      <c r="E707" s="1"/>
      <c r="F707" s="1"/>
      <c r="G707" s="1"/>
      <c r="H707" s="1"/>
      <c r="I707" s="1"/>
    </row>
    <row r="708" spans="1:9" x14ac:dyDescent="0.3">
      <c r="A708" t="s">
        <v>10</v>
      </c>
      <c r="B708" t="s">
        <v>658</v>
      </c>
      <c r="C708" s="1">
        <v>4</v>
      </c>
      <c r="D708" s="1">
        <v>18000000</v>
      </c>
      <c r="E708" s="1"/>
      <c r="F708" s="1"/>
      <c r="G708" s="1"/>
      <c r="H708" s="1"/>
      <c r="I708" s="1"/>
    </row>
    <row r="709" spans="1:9" x14ac:dyDescent="0.3">
      <c r="A709" t="s">
        <v>10</v>
      </c>
      <c r="B709" t="s">
        <v>34</v>
      </c>
      <c r="C709" s="1"/>
      <c r="D709" s="1">
        <v>8100000</v>
      </c>
      <c r="E709" s="1"/>
      <c r="F709" s="1"/>
      <c r="G709" s="1"/>
      <c r="H709" s="1"/>
      <c r="I709" s="1"/>
    </row>
    <row r="710" spans="1:9" x14ac:dyDescent="0.3">
      <c r="A710" t="s">
        <v>10</v>
      </c>
      <c r="B710" t="s">
        <v>659</v>
      </c>
      <c r="C710" s="1"/>
      <c r="D710" s="1">
        <v>22000000</v>
      </c>
      <c r="E710" s="1"/>
      <c r="F710" s="1"/>
      <c r="G710" s="1"/>
      <c r="H710" s="1"/>
      <c r="I710" s="1"/>
    </row>
    <row r="711" spans="1:9" x14ac:dyDescent="0.3">
      <c r="A711" t="s">
        <v>10</v>
      </c>
      <c r="B711" t="s">
        <v>258</v>
      </c>
      <c r="C711" s="1">
        <v>2</v>
      </c>
      <c r="D711" s="1">
        <v>16800000</v>
      </c>
      <c r="E711" s="1"/>
      <c r="F711" s="1"/>
      <c r="G711" s="1"/>
      <c r="H711" s="1"/>
      <c r="I711" s="1"/>
    </row>
    <row r="712" spans="1:9" x14ac:dyDescent="0.3">
      <c r="A712" t="s">
        <v>10</v>
      </c>
      <c r="B712" t="s">
        <v>660</v>
      </c>
      <c r="C712" s="1"/>
      <c r="D712" s="1">
        <v>12500000</v>
      </c>
      <c r="E712" s="1"/>
      <c r="F712" s="1"/>
      <c r="G712" s="1"/>
      <c r="H712" s="1"/>
      <c r="I712" s="1"/>
    </row>
    <row r="713" spans="1:9" x14ac:dyDescent="0.3">
      <c r="A713" t="s">
        <v>10</v>
      </c>
      <c r="B713" t="s">
        <v>661</v>
      </c>
      <c r="C713" s="1"/>
      <c r="D713" s="1">
        <v>28500000</v>
      </c>
      <c r="E713" s="1"/>
      <c r="F713" s="1"/>
      <c r="G713" s="1"/>
      <c r="H713" s="1"/>
      <c r="I713" s="1"/>
    </row>
    <row r="714" spans="1:9" x14ac:dyDescent="0.3">
      <c r="A714" t="s">
        <v>10</v>
      </c>
      <c r="B714" t="s">
        <v>56</v>
      </c>
      <c r="C714" s="1"/>
      <c r="D714" s="1">
        <v>13000000</v>
      </c>
      <c r="E714" s="1"/>
      <c r="F714" s="1"/>
      <c r="G714" s="1"/>
      <c r="H714" s="1"/>
      <c r="I714" s="1"/>
    </row>
    <row r="715" spans="1:9" x14ac:dyDescent="0.3">
      <c r="A715" t="s">
        <v>10</v>
      </c>
      <c r="B715" t="s">
        <v>662</v>
      </c>
      <c r="C715" s="1">
        <v>1</v>
      </c>
      <c r="D715" s="1">
        <v>14500000</v>
      </c>
      <c r="E715" s="1"/>
      <c r="F715" s="1"/>
      <c r="G715" s="1"/>
      <c r="H715" s="1"/>
      <c r="I715" s="1"/>
    </row>
    <row r="716" spans="1:9" x14ac:dyDescent="0.3">
      <c r="A716" t="s">
        <v>10</v>
      </c>
      <c r="B716" t="s">
        <v>663</v>
      </c>
      <c r="C716" s="1"/>
      <c r="D716" s="1">
        <v>27500000</v>
      </c>
      <c r="E716" s="1"/>
      <c r="F716" s="1"/>
      <c r="G716" s="1"/>
      <c r="H716" s="1"/>
      <c r="I716" s="1"/>
    </row>
    <row r="717" spans="1:9" x14ac:dyDescent="0.3">
      <c r="A717" t="s">
        <v>10</v>
      </c>
      <c r="B717" t="s">
        <v>664</v>
      </c>
      <c r="C717" s="1"/>
      <c r="D717" s="1">
        <v>26000000</v>
      </c>
      <c r="E717" s="1"/>
      <c r="F717" s="1"/>
      <c r="G717" s="1"/>
      <c r="H717" s="1"/>
      <c r="I717" s="1"/>
    </row>
    <row r="718" spans="1:9" x14ac:dyDescent="0.3">
      <c r="A718" t="s">
        <v>10</v>
      </c>
      <c r="B718" t="s">
        <v>260</v>
      </c>
      <c r="C718" s="1">
        <v>1</v>
      </c>
      <c r="D718" s="1">
        <v>15100000</v>
      </c>
      <c r="E718" s="1"/>
      <c r="F718" s="1"/>
      <c r="G718" s="1"/>
      <c r="H718" s="1"/>
      <c r="I718" s="1"/>
    </row>
    <row r="719" spans="1:9" x14ac:dyDescent="0.3">
      <c r="A719" t="s">
        <v>10</v>
      </c>
      <c r="B719" t="s">
        <v>260</v>
      </c>
      <c r="C719" s="1">
        <v>3</v>
      </c>
      <c r="D719" s="1">
        <v>15900000</v>
      </c>
      <c r="E719" s="1"/>
      <c r="F719" s="1"/>
      <c r="G719" s="1"/>
      <c r="H719" s="1"/>
      <c r="I719" s="1"/>
    </row>
    <row r="720" spans="1:9" x14ac:dyDescent="0.3">
      <c r="A720" t="s">
        <v>10</v>
      </c>
      <c r="B720" t="s">
        <v>665</v>
      </c>
      <c r="C720" s="1">
        <v>2</v>
      </c>
      <c r="D720" s="1">
        <v>14700000</v>
      </c>
      <c r="E720" s="1"/>
      <c r="F720" s="1"/>
      <c r="G720" s="1"/>
      <c r="H720" s="1"/>
      <c r="I720" s="1"/>
    </row>
    <row r="721" spans="1:9" x14ac:dyDescent="0.3">
      <c r="A721" t="s">
        <v>10</v>
      </c>
      <c r="B721" t="s">
        <v>666</v>
      </c>
      <c r="C721" s="1">
        <v>2</v>
      </c>
      <c r="D721" s="1">
        <v>14000000</v>
      </c>
      <c r="E721" s="1"/>
      <c r="F721" s="1"/>
      <c r="G721" s="1"/>
      <c r="H721" s="1"/>
      <c r="I721" s="1"/>
    </row>
    <row r="722" spans="1:9" x14ac:dyDescent="0.3">
      <c r="A722" t="s">
        <v>10</v>
      </c>
      <c r="B722" t="s">
        <v>667</v>
      </c>
      <c r="C722" s="1"/>
      <c r="D722" s="1">
        <v>23000000</v>
      </c>
      <c r="E722" s="1"/>
      <c r="F722" s="1"/>
      <c r="G722" s="1"/>
      <c r="H722" s="1"/>
      <c r="I722" s="1"/>
    </row>
    <row r="723" spans="1:9" x14ac:dyDescent="0.3">
      <c r="A723" t="s">
        <v>10</v>
      </c>
      <c r="B723" t="s">
        <v>53</v>
      </c>
      <c r="C723" s="1">
        <v>1</v>
      </c>
      <c r="D723" s="1">
        <v>15900000</v>
      </c>
      <c r="E723" s="1"/>
      <c r="F723" s="1"/>
      <c r="G723" s="1"/>
      <c r="H723" s="1"/>
      <c r="I723" s="1"/>
    </row>
    <row r="724" spans="1:9" x14ac:dyDescent="0.3">
      <c r="A724" t="s">
        <v>10</v>
      </c>
      <c r="B724" t="s">
        <v>133</v>
      </c>
      <c r="C724" s="1"/>
      <c r="D724" s="1">
        <v>16000000</v>
      </c>
      <c r="E724" s="1"/>
      <c r="F724" s="1"/>
      <c r="G724" s="1"/>
      <c r="H724" s="1"/>
      <c r="I724" s="1"/>
    </row>
    <row r="725" spans="1:9" x14ac:dyDescent="0.3">
      <c r="A725" t="s">
        <v>10</v>
      </c>
      <c r="B725" t="s">
        <v>101</v>
      </c>
      <c r="C725" s="1"/>
      <c r="D725" s="1">
        <v>13700000</v>
      </c>
      <c r="E725" s="1"/>
      <c r="F725" s="1"/>
      <c r="G725" s="1"/>
      <c r="H725" s="1"/>
      <c r="I725" s="1"/>
    </row>
    <row r="726" spans="1:9" x14ac:dyDescent="0.3">
      <c r="A726" t="s">
        <v>10</v>
      </c>
      <c r="B726" t="s">
        <v>118</v>
      </c>
      <c r="C726" s="1">
        <v>3</v>
      </c>
      <c r="D726" s="1">
        <v>26000000</v>
      </c>
      <c r="E726" s="1"/>
      <c r="F726" s="1"/>
      <c r="G726" s="1"/>
      <c r="H726" s="1"/>
      <c r="I726" s="1"/>
    </row>
    <row r="727" spans="1:9" x14ac:dyDescent="0.3">
      <c r="A727" t="s">
        <v>10</v>
      </c>
      <c r="B727" t="s">
        <v>355</v>
      </c>
      <c r="C727" s="1">
        <v>1</v>
      </c>
      <c r="D727" s="1">
        <v>25800000</v>
      </c>
      <c r="E727" s="1"/>
      <c r="F727" s="1"/>
      <c r="G727" s="1"/>
      <c r="H727" s="1"/>
      <c r="I727" s="1"/>
    </row>
    <row r="728" spans="1:9" x14ac:dyDescent="0.3">
      <c r="A728" t="s">
        <v>10</v>
      </c>
      <c r="B728" t="s">
        <v>262</v>
      </c>
      <c r="C728" s="1">
        <v>1</v>
      </c>
      <c r="D728" s="1">
        <v>27500000</v>
      </c>
      <c r="E728" s="1"/>
      <c r="F728" s="1"/>
      <c r="G728" s="1"/>
      <c r="H728" s="1"/>
      <c r="I728" s="1"/>
    </row>
    <row r="729" spans="1:9" x14ac:dyDescent="0.3">
      <c r="A729" t="s">
        <v>10</v>
      </c>
      <c r="B729" t="s">
        <v>149</v>
      </c>
      <c r="C729" s="1">
        <v>1</v>
      </c>
      <c r="D729" s="1">
        <v>21500000</v>
      </c>
      <c r="E729" s="1"/>
      <c r="F729" s="1"/>
      <c r="G729" s="1"/>
      <c r="H729" s="1"/>
      <c r="I729" s="1"/>
    </row>
    <row r="730" spans="1:9" x14ac:dyDescent="0.3">
      <c r="A730" t="s">
        <v>10</v>
      </c>
      <c r="B730" t="s">
        <v>668</v>
      </c>
      <c r="C730" s="1">
        <v>1</v>
      </c>
      <c r="D730" s="1">
        <v>31000000</v>
      </c>
      <c r="E730" s="1"/>
      <c r="F730" s="1"/>
      <c r="G730" s="1"/>
      <c r="H730" s="1"/>
      <c r="I730" s="1"/>
    </row>
    <row r="731" spans="1:9" x14ac:dyDescent="0.3">
      <c r="A731" t="s">
        <v>10</v>
      </c>
      <c r="B731" t="s">
        <v>669</v>
      </c>
      <c r="C731" s="1">
        <v>1</v>
      </c>
      <c r="D731" s="1">
        <v>28000000</v>
      </c>
      <c r="E731" s="1"/>
      <c r="F731" s="1"/>
      <c r="G731" s="1"/>
      <c r="H731" s="1"/>
      <c r="I731" s="1"/>
    </row>
    <row r="732" spans="1:9" x14ac:dyDescent="0.3">
      <c r="A732" t="s">
        <v>10</v>
      </c>
      <c r="B732" t="s">
        <v>670</v>
      </c>
      <c r="C732" s="1">
        <v>1</v>
      </c>
      <c r="D732" s="1">
        <v>24500000</v>
      </c>
      <c r="E732" s="1"/>
      <c r="F732" s="1"/>
      <c r="G732" s="1"/>
      <c r="H732" s="1"/>
      <c r="I732" s="1"/>
    </row>
    <row r="733" spans="1:9" x14ac:dyDescent="0.3">
      <c r="A733" t="s">
        <v>10</v>
      </c>
      <c r="B733" t="s">
        <v>671</v>
      </c>
      <c r="C733" s="1">
        <v>1</v>
      </c>
      <c r="D733" s="1">
        <v>13000000</v>
      </c>
      <c r="E733" s="1"/>
      <c r="F733" s="1"/>
      <c r="G733" s="1"/>
      <c r="H733" s="1"/>
      <c r="I733" s="1"/>
    </row>
    <row r="734" spans="1:9" x14ac:dyDescent="0.3">
      <c r="A734" t="s">
        <v>10</v>
      </c>
      <c r="B734" t="s">
        <v>672</v>
      </c>
      <c r="C734" s="1"/>
      <c r="D734" s="1">
        <v>9500000</v>
      </c>
      <c r="E734" s="1"/>
      <c r="F734" s="1"/>
      <c r="G734" s="1"/>
      <c r="H734" s="1"/>
      <c r="I734" s="1"/>
    </row>
    <row r="735" spans="1:9" x14ac:dyDescent="0.3">
      <c r="A735" t="s">
        <v>10</v>
      </c>
      <c r="B735" t="s">
        <v>673</v>
      </c>
      <c r="C735" s="1">
        <v>1</v>
      </c>
      <c r="D735" s="1">
        <v>9500000</v>
      </c>
      <c r="E735" s="1"/>
      <c r="F735" s="1"/>
      <c r="G735" s="1"/>
      <c r="H735" s="1"/>
      <c r="I735" s="1"/>
    </row>
    <row r="736" spans="1:9" x14ac:dyDescent="0.3">
      <c r="A736" t="s">
        <v>10</v>
      </c>
      <c r="B736" t="s">
        <v>674</v>
      </c>
      <c r="C736" s="1">
        <v>1</v>
      </c>
      <c r="D736" s="1">
        <v>8990000</v>
      </c>
      <c r="E736" s="1"/>
      <c r="F736" s="1"/>
      <c r="G736" s="1"/>
      <c r="H736" s="1"/>
      <c r="I736" s="1"/>
    </row>
    <row r="737" spans="1:9" x14ac:dyDescent="0.3">
      <c r="A737" t="s">
        <v>215</v>
      </c>
      <c r="B737" t="s">
        <v>675</v>
      </c>
      <c r="C737" s="1"/>
      <c r="D737" s="1">
        <v>1999000</v>
      </c>
      <c r="E737" s="1"/>
      <c r="F737" s="1"/>
      <c r="G737" s="1"/>
      <c r="H737" s="1"/>
      <c r="I737" s="1"/>
    </row>
    <row r="738" spans="1:9" x14ac:dyDescent="0.3">
      <c r="A738" t="s">
        <v>215</v>
      </c>
      <c r="B738" t="s">
        <v>676</v>
      </c>
      <c r="C738" s="1">
        <v>1</v>
      </c>
      <c r="D738" s="1"/>
      <c r="E738" s="1"/>
      <c r="F738" s="1"/>
      <c r="G738" s="1"/>
      <c r="H738" s="1"/>
      <c r="I738" s="1"/>
    </row>
    <row r="739" spans="1:9" x14ac:dyDescent="0.3">
      <c r="A739" t="s">
        <v>215</v>
      </c>
      <c r="B739" t="s">
        <v>677</v>
      </c>
      <c r="C739" s="1">
        <v>1</v>
      </c>
      <c r="D739" s="1">
        <v>120000</v>
      </c>
      <c r="E739" s="1"/>
      <c r="F739" s="1"/>
      <c r="G739" s="1"/>
      <c r="H739" s="1"/>
      <c r="I739" s="1"/>
    </row>
    <row r="740" spans="1:9" x14ac:dyDescent="0.3">
      <c r="A740" t="s">
        <v>215</v>
      </c>
      <c r="B740" t="s">
        <v>678</v>
      </c>
      <c r="C740" s="1">
        <v>1</v>
      </c>
      <c r="D740" s="1">
        <v>200000</v>
      </c>
      <c r="E740" s="1"/>
      <c r="F740" s="1"/>
      <c r="G740" s="1"/>
      <c r="H740" s="1"/>
      <c r="I740" s="1"/>
    </row>
    <row r="741" spans="1:9" x14ac:dyDescent="0.3">
      <c r="A741" t="s">
        <v>215</v>
      </c>
      <c r="B741" t="s">
        <v>679</v>
      </c>
      <c r="C741" s="1">
        <v>1</v>
      </c>
      <c r="D741" s="1">
        <v>179000</v>
      </c>
      <c r="E741" s="1"/>
      <c r="F741" s="1"/>
      <c r="G741" s="1"/>
      <c r="H741" s="1"/>
      <c r="I741" s="1"/>
    </row>
    <row r="742" spans="1:9" x14ac:dyDescent="0.3">
      <c r="A742" t="s">
        <v>215</v>
      </c>
      <c r="B742" t="s">
        <v>680</v>
      </c>
      <c r="C742" s="1">
        <v>1</v>
      </c>
      <c r="D742" s="1">
        <v>179000</v>
      </c>
      <c r="E742" s="1"/>
      <c r="F742" s="1"/>
      <c r="G742" s="1"/>
      <c r="H742" s="1"/>
      <c r="I742" s="1"/>
    </row>
    <row r="743" spans="1:9" x14ac:dyDescent="0.3">
      <c r="A743" t="s">
        <v>215</v>
      </c>
      <c r="B743" t="s">
        <v>681</v>
      </c>
      <c r="C743" s="1"/>
      <c r="D743" s="1">
        <v>2100000</v>
      </c>
      <c r="E743" s="1"/>
      <c r="F743" s="1"/>
      <c r="G743" s="1"/>
      <c r="H743" s="1"/>
      <c r="I743" s="1"/>
    </row>
    <row r="744" spans="1:9" x14ac:dyDescent="0.3">
      <c r="A744" t="s">
        <v>215</v>
      </c>
      <c r="B744" t="s">
        <v>682</v>
      </c>
      <c r="C744" s="1">
        <v>1</v>
      </c>
      <c r="D744" s="1">
        <v>2000000</v>
      </c>
      <c r="E744" s="1"/>
      <c r="F744" s="1"/>
      <c r="G744" s="1"/>
      <c r="H744" s="1"/>
      <c r="I744" s="1"/>
    </row>
    <row r="745" spans="1:9" x14ac:dyDescent="0.3">
      <c r="A745" t="s">
        <v>215</v>
      </c>
      <c r="B745" t="s">
        <v>683</v>
      </c>
      <c r="C745" s="1"/>
      <c r="D745" s="1">
        <v>2500000</v>
      </c>
      <c r="E745" s="1"/>
      <c r="F745" s="1"/>
      <c r="G745" s="1"/>
      <c r="H745" s="1"/>
      <c r="I745" s="1"/>
    </row>
    <row r="746" spans="1:9" x14ac:dyDescent="0.3">
      <c r="A746" t="s">
        <v>215</v>
      </c>
      <c r="B746" t="s">
        <v>684</v>
      </c>
      <c r="C746" s="1">
        <v>0</v>
      </c>
      <c r="D746" s="1">
        <v>2290000</v>
      </c>
      <c r="E746" s="1"/>
      <c r="F746" s="1"/>
      <c r="G746" s="1"/>
      <c r="H746" s="1"/>
      <c r="I746" s="1"/>
    </row>
    <row r="747" spans="1:9" x14ac:dyDescent="0.3">
      <c r="A747" t="s">
        <v>215</v>
      </c>
      <c r="B747" t="s">
        <v>685</v>
      </c>
      <c r="C747" s="1">
        <v>1</v>
      </c>
      <c r="D747" s="1">
        <v>2800000</v>
      </c>
      <c r="E747" s="1"/>
      <c r="F747" s="1"/>
      <c r="G747" s="1"/>
      <c r="H747" s="1"/>
      <c r="I747" s="1"/>
    </row>
    <row r="748" spans="1:9" x14ac:dyDescent="0.3">
      <c r="A748" t="s">
        <v>215</v>
      </c>
      <c r="B748" t="s">
        <v>686</v>
      </c>
      <c r="C748" s="1">
        <v>1</v>
      </c>
      <c r="D748" s="1"/>
      <c r="E748" s="1"/>
      <c r="F748" s="1"/>
      <c r="G748" s="1"/>
      <c r="H748" s="1"/>
      <c r="I748" s="1"/>
    </row>
    <row r="749" spans="1:9" x14ac:dyDescent="0.3">
      <c r="A749" t="s">
        <v>215</v>
      </c>
      <c r="B749" t="s">
        <v>687</v>
      </c>
      <c r="C749" s="1">
        <v>1</v>
      </c>
      <c r="D749" s="1">
        <v>1000000</v>
      </c>
      <c r="E749" s="1"/>
      <c r="F749" s="1"/>
      <c r="G749" s="1"/>
      <c r="H749" s="1"/>
      <c r="I749" s="1"/>
    </row>
    <row r="750" spans="1:9" x14ac:dyDescent="0.3">
      <c r="A750" t="s">
        <v>264</v>
      </c>
      <c r="B750" t="s">
        <v>688</v>
      </c>
      <c r="C750" s="1">
        <v>1</v>
      </c>
      <c r="D750" s="1">
        <v>15000000</v>
      </c>
      <c r="E750" s="1"/>
      <c r="F750" s="1"/>
      <c r="G750" s="1"/>
      <c r="H750" s="1"/>
      <c r="I750" s="1"/>
    </row>
    <row r="751" spans="1:9" x14ac:dyDescent="0.3">
      <c r="A751" t="s">
        <v>264</v>
      </c>
      <c r="B751" t="s">
        <v>689</v>
      </c>
      <c r="C751" s="1">
        <v>1</v>
      </c>
      <c r="D751" s="1">
        <v>11500000</v>
      </c>
      <c r="E751" s="1"/>
      <c r="F751" s="1"/>
      <c r="G751" s="1"/>
      <c r="H751" s="1"/>
      <c r="I751" s="1"/>
    </row>
    <row r="752" spans="1:9" x14ac:dyDescent="0.3">
      <c r="A752" t="s">
        <v>264</v>
      </c>
      <c r="B752" t="s">
        <v>690</v>
      </c>
      <c r="C752" s="1">
        <v>1</v>
      </c>
      <c r="D752" s="1">
        <v>15500000</v>
      </c>
      <c r="E752" s="1"/>
      <c r="F752" s="1"/>
      <c r="G752" s="1"/>
      <c r="H752" s="1"/>
      <c r="I752" s="1"/>
    </row>
    <row r="753" spans="1:9" x14ac:dyDescent="0.3">
      <c r="A753" t="s">
        <v>264</v>
      </c>
      <c r="B753" t="s">
        <v>37</v>
      </c>
      <c r="C753" s="1">
        <v>5</v>
      </c>
      <c r="D753" s="1">
        <v>24000000</v>
      </c>
      <c r="E753" s="1"/>
      <c r="F753" s="1"/>
      <c r="G753" s="1"/>
      <c r="H753" s="1"/>
      <c r="I753" s="1"/>
    </row>
    <row r="754" spans="1:9" x14ac:dyDescent="0.3">
      <c r="A754" t="s">
        <v>264</v>
      </c>
      <c r="B754" t="s">
        <v>691</v>
      </c>
      <c r="C754" s="1"/>
      <c r="D754" s="1">
        <v>21500000</v>
      </c>
      <c r="E754" s="1"/>
      <c r="F754" s="1"/>
      <c r="G754" s="1"/>
      <c r="H754" s="1"/>
      <c r="I754" s="1"/>
    </row>
    <row r="755" spans="1:9" x14ac:dyDescent="0.3">
      <c r="A755" t="s">
        <v>264</v>
      </c>
      <c r="B755" t="s">
        <v>359</v>
      </c>
      <c r="C755" s="1">
        <v>1</v>
      </c>
      <c r="D755" s="1">
        <v>15500000</v>
      </c>
      <c r="E755" s="1"/>
      <c r="F755" s="1"/>
      <c r="G755" s="1"/>
      <c r="H755" s="1"/>
      <c r="I755" s="1"/>
    </row>
    <row r="756" spans="1:9" x14ac:dyDescent="0.3">
      <c r="A756" t="s">
        <v>264</v>
      </c>
      <c r="B756" t="s">
        <v>692</v>
      </c>
      <c r="C756" s="1">
        <v>1</v>
      </c>
      <c r="D756" s="1">
        <v>17500000</v>
      </c>
      <c r="E756" s="1"/>
      <c r="F756" s="1"/>
      <c r="G756" s="1"/>
      <c r="H756" s="1"/>
      <c r="I756" s="1"/>
    </row>
    <row r="757" spans="1:9" x14ac:dyDescent="0.3">
      <c r="A757" t="s">
        <v>264</v>
      </c>
      <c r="B757" t="s">
        <v>693</v>
      </c>
      <c r="C757" s="1">
        <v>1</v>
      </c>
      <c r="D757" s="1">
        <v>13500000</v>
      </c>
      <c r="E757" s="1"/>
      <c r="F757" s="1"/>
      <c r="G757" s="1"/>
      <c r="H757" s="1"/>
      <c r="I757" s="1"/>
    </row>
    <row r="758" spans="1:9" x14ac:dyDescent="0.3">
      <c r="A758" t="s">
        <v>264</v>
      </c>
      <c r="B758" t="s">
        <v>694</v>
      </c>
      <c r="C758" s="1"/>
      <c r="D758" s="1">
        <v>21000000</v>
      </c>
      <c r="E758" s="1"/>
      <c r="F758" s="1"/>
      <c r="G758" s="1"/>
      <c r="H758" s="1"/>
      <c r="I758" s="1"/>
    </row>
    <row r="759" spans="1:9" x14ac:dyDescent="0.3">
      <c r="A759" t="s">
        <v>264</v>
      </c>
      <c r="B759" t="s">
        <v>695</v>
      </c>
      <c r="C759" s="1">
        <v>1</v>
      </c>
      <c r="D759" s="1">
        <v>31500000</v>
      </c>
      <c r="E759" s="1"/>
      <c r="F759" s="1"/>
      <c r="G759" s="1"/>
      <c r="H759" s="1"/>
      <c r="I759" s="1"/>
    </row>
    <row r="760" spans="1:9" x14ac:dyDescent="0.3">
      <c r="A760" t="s">
        <v>264</v>
      </c>
      <c r="B760" t="s">
        <v>696</v>
      </c>
      <c r="C760" s="1">
        <v>1</v>
      </c>
      <c r="D760" s="1">
        <v>21000000</v>
      </c>
      <c r="E760" s="1"/>
      <c r="F760" s="1"/>
      <c r="G760" s="1"/>
      <c r="H760" s="1"/>
      <c r="I760" s="1"/>
    </row>
    <row r="761" spans="1:9" x14ac:dyDescent="0.3">
      <c r="A761" t="s">
        <v>264</v>
      </c>
      <c r="B761" t="s">
        <v>697</v>
      </c>
      <c r="C761" s="1">
        <v>1</v>
      </c>
      <c r="D761" s="1">
        <v>21000000</v>
      </c>
      <c r="E761" s="1"/>
      <c r="F761" s="1"/>
      <c r="G761" s="1"/>
      <c r="H761" s="1"/>
      <c r="I761" s="1"/>
    </row>
    <row r="762" spans="1:9" x14ac:dyDescent="0.3">
      <c r="A762" t="s">
        <v>264</v>
      </c>
      <c r="B762" t="s">
        <v>698</v>
      </c>
      <c r="C762" s="1"/>
      <c r="D762" s="1">
        <v>19000000</v>
      </c>
      <c r="E762" s="1"/>
      <c r="F762" s="1"/>
      <c r="G762" s="1"/>
      <c r="H762" s="1"/>
      <c r="I762" s="1"/>
    </row>
    <row r="763" spans="1:9" x14ac:dyDescent="0.3">
      <c r="A763" t="s">
        <v>264</v>
      </c>
      <c r="B763" t="s">
        <v>699</v>
      </c>
      <c r="C763" s="1">
        <v>1</v>
      </c>
      <c r="D763" s="1">
        <v>31000000</v>
      </c>
      <c r="E763" s="1"/>
      <c r="F763" s="1"/>
      <c r="G763" s="1"/>
      <c r="H763" s="1"/>
      <c r="I763" s="1"/>
    </row>
    <row r="764" spans="1:9" x14ac:dyDescent="0.3">
      <c r="A764" t="s">
        <v>264</v>
      </c>
      <c r="B764" t="s">
        <v>700</v>
      </c>
      <c r="C764" s="1">
        <v>1</v>
      </c>
      <c r="D764" s="1">
        <v>34000000</v>
      </c>
      <c r="E764" s="1"/>
      <c r="F764" s="1"/>
      <c r="G764" s="1"/>
      <c r="H764" s="1"/>
      <c r="I764" s="1"/>
    </row>
    <row r="765" spans="1:9" x14ac:dyDescent="0.3">
      <c r="A765" t="s">
        <v>264</v>
      </c>
      <c r="B765" t="s">
        <v>701</v>
      </c>
      <c r="C765" s="1">
        <v>1</v>
      </c>
      <c r="D765" s="1"/>
      <c r="E765" s="1"/>
      <c r="F765" s="1"/>
      <c r="G765" s="1"/>
      <c r="H765" s="1"/>
      <c r="I765" s="1"/>
    </row>
    <row r="766" spans="1:9" x14ac:dyDescent="0.3">
      <c r="A766" t="s">
        <v>264</v>
      </c>
      <c r="B766" t="s">
        <v>361</v>
      </c>
      <c r="C766" s="1">
        <v>7</v>
      </c>
      <c r="D766" s="1">
        <v>18000000</v>
      </c>
      <c r="E766" s="1"/>
      <c r="F766" s="1"/>
      <c r="G766" s="1"/>
      <c r="H766" s="1"/>
      <c r="I766" s="1"/>
    </row>
    <row r="767" spans="1:9" x14ac:dyDescent="0.3">
      <c r="A767" t="s">
        <v>264</v>
      </c>
      <c r="B767" t="s">
        <v>362</v>
      </c>
      <c r="C767" s="1">
        <v>0</v>
      </c>
      <c r="D767" s="1">
        <v>20000000</v>
      </c>
      <c r="E767" s="1"/>
      <c r="F767" s="1"/>
      <c r="G767" s="1"/>
      <c r="H767" s="1"/>
      <c r="I767" s="1"/>
    </row>
    <row r="768" spans="1:9" x14ac:dyDescent="0.3">
      <c r="A768" t="s">
        <v>264</v>
      </c>
      <c r="B768" t="s">
        <v>702</v>
      </c>
      <c r="C768" s="1">
        <v>1</v>
      </c>
      <c r="D768" s="1"/>
      <c r="E768" s="1"/>
      <c r="F768" s="1"/>
      <c r="G768" s="1"/>
      <c r="H768" s="1"/>
      <c r="I768" s="1"/>
    </row>
    <row r="769" spans="1:9" x14ac:dyDescent="0.3">
      <c r="A769" t="s">
        <v>125</v>
      </c>
      <c r="B769" t="s">
        <v>703</v>
      </c>
      <c r="C769" s="1">
        <v>2</v>
      </c>
      <c r="D769" s="1">
        <v>350000</v>
      </c>
      <c r="E769" s="1"/>
      <c r="F769" s="1"/>
      <c r="G769" s="1"/>
      <c r="H769" s="1"/>
      <c r="I769" s="1"/>
    </row>
    <row r="770" spans="1:9" x14ac:dyDescent="0.3">
      <c r="A770" t="s">
        <v>125</v>
      </c>
      <c r="B770" t="s">
        <v>704</v>
      </c>
      <c r="C770" s="1">
        <v>2</v>
      </c>
      <c r="D770" s="1">
        <v>400000</v>
      </c>
      <c r="E770" s="1"/>
      <c r="F770" s="1"/>
      <c r="G770" s="1"/>
      <c r="H770" s="1"/>
      <c r="I770" s="1"/>
    </row>
    <row r="771" spans="1:9" x14ac:dyDescent="0.3">
      <c r="A771" t="s">
        <v>125</v>
      </c>
      <c r="B771" t="s">
        <v>705</v>
      </c>
      <c r="C771" s="1">
        <v>1</v>
      </c>
      <c r="D771" s="1">
        <v>100000</v>
      </c>
      <c r="E771" s="1"/>
      <c r="F771" s="1"/>
      <c r="G771" s="1"/>
      <c r="H771" s="1"/>
      <c r="I771" s="1"/>
    </row>
    <row r="772" spans="1:9" x14ac:dyDescent="0.3">
      <c r="A772" t="s">
        <v>125</v>
      </c>
      <c r="B772" t="s">
        <v>706</v>
      </c>
      <c r="C772" s="1"/>
      <c r="D772" s="1">
        <v>390000</v>
      </c>
      <c r="E772" s="1"/>
      <c r="F772" s="1"/>
      <c r="G772" s="1"/>
      <c r="H772" s="1"/>
      <c r="I772" s="1"/>
    </row>
    <row r="773" spans="1:9" x14ac:dyDescent="0.3">
      <c r="A773" t="s">
        <v>125</v>
      </c>
      <c r="B773" t="s">
        <v>707</v>
      </c>
      <c r="C773" s="1">
        <v>1</v>
      </c>
      <c r="D773" s="1">
        <v>500000</v>
      </c>
      <c r="E773" s="1"/>
      <c r="F773" s="1"/>
      <c r="G773" s="1"/>
      <c r="H773" s="1"/>
      <c r="I773" s="1"/>
    </row>
    <row r="774" spans="1:9" x14ac:dyDescent="0.3">
      <c r="A774" t="s">
        <v>125</v>
      </c>
      <c r="B774" t="s">
        <v>708</v>
      </c>
      <c r="C774" s="1">
        <v>1</v>
      </c>
      <c r="D774" s="1">
        <v>500000</v>
      </c>
      <c r="E774" s="1"/>
      <c r="F774" s="1"/>
      <c r="G774" s="1"/>
      <c r="H774" s="1"/>
      <c r="I774" s="1"/>
    </row>
    <row r="775" spans="1:9" x14ac:dyDescent="0.3">
      <c r="A775" t="s">
        <v>125</v>
      </c>
      <c r="B775" t="s">
        <v>709</v>
      </c>
      <c r="C775" s="1">
        <v>1</v>
      </c>
      <c r="D775" s="1"/>
      <c r="E775" s="1"/>
      <c r="F775" s="1"/>
      <c r="G775" s="1"/>
      <c r="H775" s="1"/>
      <c r="I775" s="1"/>
    </row>
    <row r="776" spans="1:9" x14ac:dyDescent="0.3">
      <c r="A776" t="s">
        <v>125</v>
      </c>
      <c r="B776" t="s">
        <v>710</v>
      </c>
      <c r="C776" s="1">
        <v>7</v>
      </c>
      <c r="D776" s="1">
        <v>1600000</v>
      </c>
      <c r="E776" s="1"/>
      <c r="F776" s="1"/>
      <c r="G776" s="1"/>
      <c r="H776" s="1"/>
      <c r="I776" s="1"/>
    </row>
    <row r="777" spans="1:9" x14ac:dyDescent="0.3">
      <c r="A777" t="s">
        <v>125</v>
      </c>
      <c r="B777" t="s">
        <v>711</v>
      </c>
      <c r="C777" s="1">
        <v>1</v>
      </c>
      <c r="D777" s="1"/>
      <c r="E777" s="1"/>
      <c r="F777" s="1"/>
      <c r="G777" s="1"/>
      <c r="H777" s="1"/>
      <c r="I777" s="1"/>
    </row>
    <row r="778" spans="1:9" x14ac:dyDescent="0.3">
      <c r="A778" t="s">
        <v>125</v>
      </c>
      <c r="B778" t="s">
        <v>712</v>
      </c>
      <c r="C778" s="1">
        <v>1</v>
      </c>
      <c r="D778" s="1">
        <v>1000000</v>
      </c>
      <c r="E778" s="1"/>
      <c r="F778" s="1"/>
      <c r="G778" s="1"/>
      <c r="H778" s="1"/>
      <c r="I778" s="1"/>
    </row>
    <row r="779" spans="1:9" x14ac:dyDescent="0.3">
      <c r="A779" t="s">
        <v>125</v>
      </c>
      <c r="B779" t="s">
        <v>713</v>
      </c>
      <c r="C779" s="1">
        <v>1</v>
      </c>
      <c r="D779" s="1">
        <v>500000</v>
      </c>
      <c r="E779" s="1"/>
      <c r="F779" s="1"/>
      <c r="G779" s="1"/>
      <c r="H779" s="1"/>
      <c r="I779" s="1"/>
    </row>
    <row r="780" spans="1:9" x14ac:dyDescent="0.3">
      <c r="A780" t="s">
        <v>125</v>
      </c>
      <c r="B780" t="s">
        <v>714</v>
      </c>
      <c r="C780" s="1">
        <v>1</v>
      </c>
      <c r="D780" s="1">
        <v>450000</v>
      </c>
      <c r="E780" s="1"/>
      <c r="F780" s="1"/>
      <c r="G780" s="1"/>
      <c r="H780" s="1"/>
      <c r="I780" s="1"/>
    </row>
    <row r="781" spans="1:9" x14ac:dyDescent="0.3">
      <c r="A781" t="s">
        <v>125</v>
      </c>
      <c r="B781" t="s">
        <v>169</v>
      </c>
      <c r="C781" s="1">
        <v>2</v>
      </c>
      <c r="D781" s="1">
        <v>1790000</v>
      </c>
      <c r="E781" s="1"/>
      <c r="F781" s="1"/>
      <c r="G781" s="1"/>
      <c r="H781" s="1"/>
      <c r="I781" s="1"/>
    </row>
    <row r="782" spans="1:9" x14ac:dyDescent="0.3">
      <c r="A782" t="s">
        <v>125</v>
      </c>
      <c r="B782" t="s">
        <v>715</v>
      </c>
      <c r="C782" s="1">
        <v>2</v>
      </c>
      <c r="D782" s="1">
        <v>1200000</v>
      </c>
      <c r="E782" s="1"/>
      <c r="F782" s="1"/>
      <c r="G782" s="1"/>
      <c r="H782" s="1"/>
      <c r="I782" s="1"/>
    </row>
    <row r="783" spans="1:9" x14ac:dyDescent="0.3">
      <c r="A783" t="s">
        <v>125</v>
      </c>
      <c r="B783" t="s">
        <v>716</v>
      </c>
      <c r="C783" s="1">
        <v>2</v>
      </c>
      <c r="D783" s="1">
        <v>690000</v>
      </c>
      <c r="E783" s="1"/>
      <c r="F783" s="1"/>
      <c r="G783" s="1"/>
      <c r="H783" s="1"/>
      <c r="I783" s="1"/>
    </row>
    <row r="784" spans="1:9" x14ac:dyDescent="0.3">
      <c r="A784" t="s">
        <v>125</v>
      </c>
      <c r="B784" t="s">
        <v>717</v>
      </c>
      <c r="C784" s="1">
        <v>1</v>
      </c>
      <c r="D784" s="1">
        <v>690000</v>
      </c>
      <c r="E784" s="1"/>
      <c r="F784" s="1"/>
      <c r="G784" s="1"/>
      <c r="H784" s="1"/>
      <c r="I784" s="1"/>
    </row>
    <row r="785" spans="1:9" x14ac:dyDescent="0.3">
      <c r="A785" t="s">
        <v>125</v>
      </c>
      <c r="B785" t="s">
        <v>718</v>
      </c>
      <c r="C785" s="1">
        <v>1</v>
      </c>
      <c r="D785" s="1">
        <v>1800000</v>
      </c>
      <c r="E785" s="1"/>
      <c r="F785" s="1"/>
      <c r="G785" s="1"/>
      <c r="H785" s="1"/>
      <c r="I785" s="1"/>
    </row>
    <row r="786" spans="1:9" x14ac:dyDescent="0.3">
      <c r="A786" t="s">
        <v>125</v>
      </c>
      <c r="B786" t="s">
        <v>719</v>
      </c>
      <c r="C786" s="1">
        <v>1</v>
      </c>
      <c r="D786" s="1">
        <v>1300000</v>
      </c>
      <c r="E786" s="1"/>
      <c r="F786" s="1"/>
      <c r="G786" s="1"/>
      <c r="H786" s="1"/>
      <c r="I786" s="1"/>
    </row>
    <row r="787" spans="1:9" x14ac:dyDescent="0.3">
      <c r="A787" t="s">
        <v>125</v>
      </c>
      <c r="B787" t="s">
        <v>720</v>
      </c>
      <c r="C787" s="1">
        <v>1</v>
      </c>
      <c r="D787" s="1">
        <v>1000000</v>
      </c>
      <c r="E787" s="1"/>
      <c r="F787" s="1"/>
      <c r="G787" s="1"/>
      <c r="H787" s="1"/>
      <c r="I787" s="1"/>
    </row>
    <row r="788" spans="1:9" x14ac:dyDescent="0.3">
      <c r="A788" t="s">
        <v>125</v>
      </c>
      <c r="B788" t="s">
        <v>721</v>
      </c>
      <c r="C788" s="1">
        <v>1</v>
      </c>
      <c r="D788" s="1">
        <v>600000</v>
      </c>
      <c r="E788" s="1"/>
      <c r="F788" s="1"/>
      <c r="G788" s="1"/>
      <c r="H788" s="1"/>
      <c r="I788" s="1"/>
    </row>
    <row r="789" spans="1:9" x14ac:dyDescent="0.3">
      <c r="A789" t="s">
        <v>125</v>
      </c>
      <c r="B789" t="s">
        <v>722</v>
      </c>
      <c r="C789" s="1">
        <v>1</v>
      </c>
      <c r="D789" s="1">
        <v>600000</v>
      </c>
      <c r="E789" s="1"/>
      <c r="F789" s="1"/>
      <c r="G789" s="1"/>
      <c r="H789" s="1"/>
      <c r="I789" s="1"/>
    </row>
    <row r="790" spans="1:9" x14ac:dyDescent="0.3">
      <c r="A790" t="s">
        <v>125</v>
      </c>
      <c r="B790" t="s">
        <v>723</v>
      </c>
      <c r="C790" s="1"/>
      <c r="D790" s="1">
        <v>3400000</v>
      </c>
      <c r="E790" s="1"/>
      <c r="F790" s="1"/>
      <c r="G790" s="1"/>
      <c r="H790" s="1"/>
      <c r="I790" s="1"/>
    </row>
    <row r="791" spans="1:9" x14ac:dyDescent="0.3">
      <c r="A791" t="s">
        <v>125</v>
      </c>
      <c r="B791" t="s">
        <v>724</v>
      </c>
      <c r="C791" s="1"/>
      <c r="D791" s="1">
        <v>2600000</v>
      </c>
      <c r="E791" s="1"/>
      <c r="F791" s="1"/>
      <c r="G791" s="1"/>
      <c r="H791" s="1"/>
      <c r="I791" s="1"/>
    </row>
    <row r="792" spans="1:9" x14ac:dyDescent="0.3">
      <c r="A792" t="s">
        <v>125</v>
      </c>
      <c r="B792" t="s">
        <v>725</v>
      </c>
      <c r="C792" s="1">
        <v>5</v>
      </c>
      <c r="D792" s="1">
        <v>1600000</v>
      </c>
      <c r="E792" s="1"/>
      <c r="F792" s="1"/>
      <c r="G792" s="1"/>
      <c r="H792" s="1"/>
      <c r="I792" s="1"/>
    </row>
    <row r="793" spans="1:9" x14ac:dyDescent="0.3">
      <c r="A793" t="s">
        <v>125</v>
      </c>
      <c r="B793" t="s">
        <v>726</v>
      </c>
      <c r="C793" s="1">
        <v>2</v>
      </c>
      <c r="D793" s="1">
        <v>1400000</v>
      </c>
      <c r="E793" s="1"/>
      <c r="F793" s="1"/>
      <c r="G793" s="1"/>
      <c r="H793" s="1"/>
      <c r="I793" s="1"/>
    </row>
    <row r="794" spans="1:9" x14ac:dyDescent="0.3">
      <c r="A794" t="s">
        <v>121</v>
      </c>
      <c r="B794" t="s">
        <v>44</v>
      </c>
      <c r="C794" s="1">
        <v>2</v>
      </c>
      <c r="D794" s="1">
        <v>2100000</v>
      </c>
      <c r="E794" s="1"/>
      <c r="F794" s="1"/>
      <c r="G794" s="1"/>
      <c r="H794" s="1"/>
      <c r="I794" s="1"/>
    </row>
    <row r="795" spans="1:9" x14ac:dyDescent="0.3">
      <c r="A795" t="s">
        <v>121</v>
      </c>
      <c r="B795" t="s">
        <v>727</v>
      </c>
      <c r="C795" s="1">
        <v>1</v>
      </c>
      <c r="D795" s="1">
        <v>2990000</v>
      </c>
      <c r="E795" s="1"/>
      <c r="F795" s="1"/>
      <c r="G795" s="1"/>
      <c r="H795" s="1"/>
      <c r="I795" s="1"/>
    </row>
    <row r="796" spans="1:9" x14ac:dyDescent="0.3">
      <c r="A796" t="s">
        <v>121</v>
      </c>
      <c r="B796" t="s">
        <v>728</v>
      </c>
      <c r="C796" s="1">
        <v>1</v>
      </c>
      <c r="D796" s="1"/>
      <c r="E796" s="1"/>
      <c r="F796" s="1"/>
      <c r="G796" s="1"/>
      <c r="H796" s="1"/>
      <c r="I796" s="1"/>
    </row>
    <row r="797" spans="1:9" x14ac:dyDescent="0.3">
      <c r="A797" t="s">
        <v>121</v>
      </c>
      <c r="B797" t="s">
        <v>729</v>
      </c>
      <c r="C797" s="1">
        <v>1</v>
      </c>
      <c r="D797" s="1"/>
      <c r="E797" s="1"/>
      <c r="F797" s="1"/>
      <c r="G797" s="1"/>
      <c r="H797" s="1"/>
      <c r="I797" s="1"/>
    </row>
    <row r="798" spans="1:9" x14ac:dyDescent="0.3">
      <c r="A798" t="s">
        <v>121</v>
      </c>
      <c r="B798" t="s">
        <v>730</v>
      </c>
      <c r="C798" s="1">
        <v>1</v>
      </c>
      <c r="D798" s="1">
        <v>5800000</v>
      </c>
      <c r="E798" s="1"/>
      <c r="F798" s="1"/>
      <c r="G798" s="1"/>
      <c r="H798" s="1"/>
      <c r="I798" s="1"/>
    </row>
    <row r="799" spans="1:9" x14ac:dyDescent="0.3">
      <c r="A799" t="s">
        <v>121</v>
      </c>
      <c r="B799" t="s">
        <v>731</v>
      </c>
      <c r="C799" s="1">
        <v>1</v>
      </c>
      <c r="D799" s="1">
        <v>5000000</v>
      </c>
      <c r="E799" s="1"/>
      <c r="F799" s="1"/>
      <c r="G799" s="1"/>
      <c r="H799" s="1"/>
      <c r="I799" s="1"/>
    </row>
    <row r="800" spans="1:9" x14ac:dyDescent="0.3">
      <c r="A800" t="s">
        <v>175</v>
      </c>
      <c r="B800" t="s">
        <v>732</v>
      </c>
      <c r="C800" s="1">
        <v>1</v>
      </c>
      <c r="D800" s="1">
        <v>2400000</v>
      </c>
      <c r="E800" s="1"/>
      <c r="F800" s="1"/>
      <c r="G800" s="1"/>
      <c r="H800" s="1"/>
      <c r="I800" s="1"/>
    </row>
    <row r="801" spans="1:9" x14ac:dyDescent="0.3">
      <c r="A801" t="s">
        <v>175</v>
      </c>
      <c r="B801" t="s">
        <v>733</v>
      </c>
      <c r="C801" s="1">
        <v>1</v>
      </c>
      <c r="D801" s="1">
        <v>5290000</v>
      </c>
      <c r="E801" s="1"/>
      <c r="F801" s="1"/>
      <c r="G801" s="1"/>
      <c r="H801" s="1"/>
      <c r="I801" s="1"/>
    </row>
    <row r="802" spans="1:9" x14ac:dyDescent="0.3">
      <c r="A802" t="s">
        <v>175</v>
      </c>
      <c r="B802" t="s">
        <v>734</v>
      </c>
      <c r="C802" s="1">
        <v>1</v>
      </c>
      <c r="D802" s="1">
        <v>4300000</v>
      </c>
      <c r="E802" s="1"/>
      <c r="F802" s="1"/>
      <c r="G802" s="1"/>
      <c r="H802" s="1"/>
      <c r="I802" s="1"/>
    </row>
    <row r="803" spans="1:9" x14ac:dyDescent="0.3">
      <c r="A803" t="s">
        <v>175</v>
      </c>
      <c r="B803" t="s">
        <v>176</v>
      </c>
      <c r="C803" s="1"/>
      <c r="D803" s="1">
        <v>2400000</v>
      </c>
      <c r="E803" s="1"/>
      <c r="F803" s="1"/>
      <c r="G803" s="1"/>
      <c r="H803" s="1"/>
      <c r="I803" s="1"/>
    </row>
    <row r="804" spans="1:9" x14ac:dyDescent="0.3">
      <c r="A804" t="s">
        <v>175</v>
      </c>
      <c r="B804" t="s">
        <v>735</v>
      </c>
      <c r="C804" s="1">
        <v>1</v>
      </c>
      <c r="D804" s="1">
        <v>4200000</v>
      </c>
      <c r="E804" s="1"/>
      <c r="F804" s="1"/>
      <c r="G804" s="1"/>
      <c r="H804" s="1"/>
      <c r="I804" s="1"/>
    </row>
    <row r="805" spans="1:9" x14ac:dyDescent="0.3">
      <c r="A805" t="s">
        <v>175</v>
      </c>
      <c r="B805" t="s">
        <v>106</v>
      </c>
      <c r="C805" s="1">
        <v>1</v>
      </c>
      <c r="D805" s="1">
        <v>5500000</v>
      </c>
      <c r="E805" s="1"/>
      <c r="F805" s="1"/>
      <c r="G805" s="1"/>
      <c r="H805" s="1"/>
      <c r="I805" s="1"/>
    </row>
    <row r="806" spans="1:9" x14ac:dyDescent="0.3">
      <c r="A806" t="s">
        <v>175</v>
      </c>
      <c r="B806" t="s">
        <v>736</v>
      </c>
      <c r="C806" s="1">
        <v>6</v>
      </c>
      <c r="D806" s="1">
        <v>3990000</v>
      </c>
      <c r="E806" s="1"/>
      <c r="F806" s="1"/>
      <c r="G806" s="1"/>
      <c r="H806" s="1"/>
      <c r="I806" s="1"/>
    </row>
    <row r="807" spans="1:9" x14ac:dyDescent="0.3">
      <c r="A807" t="s">
        <v>175</v>
      </c>
      <c r="B807" t="s">
        <v>737</v>
      </c>
      <c r="C807" s="1">
        <v>8</v>
      </c>
      <c r="D807" s="1">
        <v>3990000</v>
      </c>
      <c r="E807" s="1"/>
      <c r="F807" s="1"/>
      <c r="G807" s="1"/>
      <c r="H807" s="1"/>
      <c r="I807" s="1"/>
    </row>
    <row r="808" spans="1:9" x14ac:dyDescent="0.3">
      <c r="A808" t="s">
        <v>96</v>
      </c>
      <c r="B808" t="s">
        <v>738</v>
      </c>
      <c r="C808" s="1">
        <v>1</v>
      </c>
      <c r="D808" s="1">
        <v>400000</v>
      </c>
      <c r="E808" s="1"/>
      <c r="F808" s="1"/>
      <c r="G808" s="1"/>
      <c r="H808" s="1"/>
      <c r="I808" s="1"/>
    </row>
    <row r="809" spans="1:9" x14ac:dyDescent="0.3">
      <c r="A809" t="s">
        <v>96</v>
      </c>
      <c r="B809" t="s">
        <v>103</v>
      </c>
      <c r="C809" s="1">
        <v>1</v>
      </c>
      <c r="D809" s="1">
        <v>2250000</v>
      </c>
      <c r="E809" s="1"/>
      <c r="F809" s="1"/>
      <c r="G809" s="1"/>
      <c r="H809" s="1"/>
      <c r="I809" s="1"/>
    </row>
    <row r="810" spans="1:9" x14ac:dyDescent="0.3">
      <c r="A810" t="s">
        <v>96</v>
      </c>
      <c r="B810" t="s">
        <v>739</v>
      </c>
      <c r="C810" s="1">
        <v>4</v>
      </c>
      <c r="D810" s="1">
        <v>2700000</v>
      </c>
      <c r="E810" s="1"/>
      <c r="F810" s="1"/>
      <c r="G810" s="1"/>
      <c r="H810" s="1"/>
      <c r="I810" s="1"/>
    </row>
    <row r="811" spans="1:9" x14ac:dyDescent="0.3">
      <c r="A811" t="s">
        <v>96</v>
      </c>
      <c r="B811" t="s">
        <v>740</v>
      </c>
      <c r="C811" s="1">
        <v>1</v>
      </c>
      <c r="D811" s="1">
        <v>2500000</v>
      </c>
      <c r="E811" s="1"/>
      <c r="F811" s="1"/>
      <c r="G811" s="1"/>
      <c r="H811" s="1"/>
      <c r="I811" s="1"/>
    </row>
    <row r="812" spans="1:9" x14ac:dyDescent="0.3">
      <c r="A812" t="s">
        <v>96</v>
      </c>
      <c r="B812" t="s">
        <v>384</v>
      </c>
      <c r="C812" s="1">
        <v>1</v>
      </c>
      <c r="D812" s="1">
        <v>2700000</v>
      </c>
      <c r="E812" s="1"/>
      <c r="F812" s="1"/>
      <c r="G812" s="1"/>
      <c r="H812" s="1"/>
      <c r="I812" s="1"/>
    </row>
    <row r="813" spans="1:9" x14ac:dyDescent="0.3">
      <c r="A813" t="s">
        <v>96</v>
      </c>
      <c r="B813" t="s">
        <v>741</v>
      </c>
      <c r="C813" s="1">
        <v>1</v>
      </c>
      <c r="D813" s="1">
        <v>3600000</v>
      </c>
      <c r="E813" s="1"/>
      <c r="F813" s="1"/>
      <c r="G813" s="1"/>
      <c r="H813" s="1"/>
      <c r="I813" s="1"/>
    </row>
    <row r="814" spans="1:9" x14ac:dyDescent="0.3">
      <c r="A814" t="s">
        <v>96</v>
      </c>
      <c r="B814" t="s">
        <v>741</v>
      </c>
      <c r="C814" s="1"/>
      <c r="D814" s="1">
        <v>3000000</v>
      </c>
      <c r="E814" s="1"/>
      <c r="F814" s="1"/>
      <c r="G814" s="1"/>
      <c r="H814" s="1"/>
      <c r="I814" s="1"/>
    </row>
    <row r="815" spans="1:9" x14ac:dyDescent="0.3">
      <c r="A815" t="s">
        <v>96</v>
      </c>
      <c r="B815" t="s">
        <v>742</v>
      </c>
      <c r="C815" s="1">
        <v>1</v>
      </c>
      <c r="D815" s="1">
        <v>3200000</v>
      </c>
      <c r="E815" s="1"/>
      <c r="F815" s="1"/>
      <c r="G815" s="1"/>
      <c r="H815" s="1"/>
      <c r="I815" s="1"/>
    </row>
    <row r="816" spans="1:9" x14ac:dyDescent="0.3">
      <c r="A816" t="s">
        <v>96</v>
      </c>
      <c r="B816" t="s">
        <v>743</v>
      </c>
      <c r="C816" s="1">
        <v>1</v>
      </c>
      <c r="D816" s="1"/>
      <c r="E816" s="1"/>
      <c r="F816" s="1"/>
      <c r="G816" s="1"/>
      <c r="H816" s="1"/>
      <c r="I816" s="1"/>
    </row>
    <row r="817" spans="1:9" x14ac:dyDescent="0.3">
      <c r="A817" t="s">
        <v>96</v>
      </c>
      <c r="B817" t="s">
        <v>744</v>
      </c>
      <c r="C817" s="1"/>
      <c r="D817" s="1">
        <v>3000000</v>
      </c>
      <c r="E817" s="1"/>
      <c r="F817" s="1"/>
      <c r="G817" s="1"/>
      <c r="H817" s="1"/>
      <c r="I817" s="1"/>
    </row>
    <row r="818" spans="1:9" x14ac:dyDescent="0.3">
      <c r="A818" t="s">
        <v>96</v>
      </c>
      <c r="B818" t="s">
        <v>745</v>
      </c>
      <c r="C818" s="1">
        <v>0</v>
      </c>
      <c r="D818" s="1">
        <v>3200000</v>
      </c>
      <c r="E818" s="1"/>
      <c r="F818" s="1"/>
      <c r="G818" s="1"/>
      <c r="H818" s="1"/>
      <c r="I818" s="1"/>
    </row>
    <row r="819" spans="1:9" x14ac:dyDescent="0.3">
      <c r="A819" t="s">
        <v>96</v>
      </c>
      <c r="B819" t="s">
        <v>387</v>
      </c>
      <c r="C819" s="1">
        <v>1</v>
      </c>
      <c r="D819" s="1">
        <v>4500000</v>
      </c>
      <c r="E819" s="1"/>
      <c r="F819" s="1"/>
      <c r="G819" s="1"/>
      <c r="H819" s="1"/>
      <c r="I819" s="1"/>
    </row>
    <row r="820" spans="1:9" x14ac:dyDescent="0.3">
      <c r="A820" t="s">
        <v>96</v>
      </c>
      <c r="B820" t="s">
        <v>191</v>
      </c>
      <c r="C820" s="1">
        <v>1</v>
      </c>
      <c r="D820" s="1">
        <v>4000000</v>
      </c>
      <c r="E820" s="1"/>
      <c r="F820" s="1"/>
      <c r="G820" s="1"/>
      <c r="H820" s="1"/>
      <c r="I820" s="1"/>
    </row>
    <row r="821" spans="1:9" x14ac:dyDescent="0.3">
      <c r="A821" t="s">
        <v>96</v>
      </c>
      <c r="B821" t="s">
        <v>746</v>
      </c>
      <c r="C821" s="1"/>
      <c r="D821" s="1">
        <v>2800000</v>
      </c>
      <c r="E821" s="1"/>
      <c r="F821" s="1"/>
      <c r="G821" s="1"/>
      <c r="H821" s="1"/>
      <c r="I821" s="1"/>
    </row>
    <row r="822" spans="1:9" x14ac:dyDescent="0.3">
      <c r="A822" t="s">
        <v>96</v>
      </c>
      <c r="B822" t="s">
        <v>747</v>
      </c>
      <c r="C822" s="1"/>
      <c r="D822" s="1">
        <v>5000000</v>
      </c>
      <c r="E822" s="1"/>
      <c r="F822" s="1"/>
      <c r="G822" s="1"/>
      <c r="H822" s="1"/>
      <c r="I822" s="1"/>
    </row>
    <row r="823" spans="1:9" x14ac:dyDescent="0.3">
      <c r="A823" t="s">
        <v>96</v>
      </c>
      <c r="B823" t="s">
        <v>748</v>
      </c>
      <c r="C823" s="1"/>
      <c r="D823" s="1">
        <v>5500000</v>
      </c>
      <c r="E823" s="1"/>
      <c r="F823" s="1"/>
      <c r="G823" s="1"/>
      <c r="H823" s="1"/>
      <c r="I823" s="1"/>
    </row>
    <row r="824" spans="1:9" x14ac:dyDescent="0.3">
      <c r="A824" t="s">
        <v>96</v>
      </c>
      <c r="B824" t="s">
        <v>749</v>
      </c>
      <c r="C824" s="1"/>
      <c r="D824" s="1">
        <v>5500000</v>
      </c>
      <c r="E824" s="1"/>
      <c r="F824" s="1"/>
      <c r="G824" s="1"/>
      <c r="H824" s="1"/>
      <c r="I824" s="1"/>
    </row>
    <row r="825" spans="1:9" x14ac:dyDescent="0.3">
      <c r="A825" t="s">
        <v>96</v>
      </c>
      <c r="B825" t="s">
        <v>750</v>
      </c>
      <c r="C825" s="1"/>
      <c r="D825" s="1">
        <v>2600000</v>
      </c>
      <c r="E825" s="1"/>
      <c r="F825" s="1"/>
      <c r="G825" s="1"/>
      <c r="H825" s="1"/>
      <c r="I825" s="1"/>
    </row>
    <row r="826" spans="1:9" x14ac:dyDescent="0.3">
      <c r="A826" t="s">
        <v>96</v>
      </c>
      <c r="B826" t="s">
        <v>392</v>
      </c>
      <c r="C826" s="1">
        <v>1</v>
      </c>
      <c r="D826" s="1">
        <v>12000000</v>
      </c>
      <c r="E826" s="1"/>
      <c r="F826" s="1"/>
      <c r="G826" s="1"/>
      <c r="H826" s="1"/>
      <c r="I826" s="1"/>
    </row>
    <row r="827" spans="1:9" x14ac:dyDescent="0.3">
      <c r="A827" t="s">
        <v>96</v>
      </c>
      <c r="B827" t="s">
        <v>751</v>
      </c>
      <c r="C827" s="1"/>
      <c r="D827" s="1">
        <v>800000</v>
      </c>
      <c r="E827" s="1"/>
      <c r="F827" s="1"/>
      <c r="G827" s="1"/>
      <c r="H827" s="1"/>
      <c r="I827" s="1"/>
    </row>
    <row r="828" spans="1:9" x14ac:dyDescent="0.3">
      <c r="A828" t="s">
        <v>96</v>
      </c>
      <c r="B828" t="s">
        <v>752</v>
      </c>
      <c r="C828" s="1"/>
      <c r="D828" s="1">
        <v>7399000</v>
      </c>
      <c r="E828" s="1"/>
      <c r="F828" s="1"/>
      <c r="G828" s="1"/>
      <c r="H828" s="1"/>
      <c r="I828" s="1"/>
    </row>
    <row r="829" spans="1:9" x14ac:dyDescent="0.3">
      <c r="A829" t="s">
        <v>96</v>
      </c>
      <c r="B829" t="s">
        <v>753</v>
      </c>
      <c r="C829" s="1"/>
      <c r="D829" s="1">
        <v>4100000</v>
      </c>
      <c r="E829" s="1"/>
      <c r="F829" s="1"/>
      <c r="G829" s="1"/>
      <c r="H829" s="1"/>
      <c r="I829" s="1"/>
    </row>
    <row r="830" spans="1:9" x14ac:dyDescent="0.3">
      <c r="A830" t="s">
        <v>96</v>
      </c>
      <c r="B830" t="s">
        <v>754</v>
      </c>
      <c r="C830" s="1"/>
      <c r="D830" s="1">
        <v>6300000</v>
      </c>
      <c r="E830" s="1"/>
      <c r="F830" s="1"/>
      <c r="G830" s="1"/>
      <c r="H830" s="1"/>
      <c r="I830" s="1"/>
    </row>
    <row r="831" spans="1:9" x14ac:dyDescent="0.3">
      <c r="A831" t="s">
        <v>96</v>
      </c>
      <c r="B831" t="s">
        <v>755</v>
      </c>
      <c r="C831" s="1"/>
      <c r="D831" s="1">
        <v>4800000</v>
      </c>
      <c r="E831" s="1"/>
      <c r="F831" s="1"/>
      <c r="G831" s="1"/>
      <c r="H831" s="1"/>
      <c r="I831" s="1"/>
    </row>
    <row r="832" spans="1:9" x14ac:dyDescent="0.3">
      <c r="A832" t="s">
        <v>96</v>
      </c>
      <c r="B832" t="s">
        <v>756</v>
      </c>
      <c r="C832" s="1"/>
      <c r="D832" s="1">
        <v>2000000</v>
      </c>
      <c r="E832" s="1"/>
      <c r="F832" s="1"/>
      <c r="G832" s="1"/>
      <c r="H832" s="1"/>
      <c r="I832" s="1"/>
    </row>
    <row r="833" spans="1:9" x14ac:dyDescent="0.3">
      <c r="A833" t="s">
        <v>96</v>
      </c>
      <c r="B833" t="s">
        <v>757</v>
      </c>
      <c r="C833" s="1"/>
      <c r="D833" s="1">
        <v>7800000</v>
      </c>
      <c r="E833" s="1"/>
      <c r="F833" s="1"/>
      <c r="G833" s="1"/>
      <c r="H833" s="1"/>
      <c r="I833" s="1"/>
    </row>
    <row r="834" spans="1:9" x14ac:dyDescent="0.3">
      <c r="A834" t="s">
        <v>96</v>
      </c>
      <c r="B834" t="s">
        <v>757</v>
      </c>
      <c r="C834" s="1"/>
      <c r="D834" s="1">
        <v>7000000</v>
      </c>
      <c r="E834" s="1"/>
      <c r="F834" s="1"/>
      <c r="G834" s="1"/>
      <c r="H834" s="1"/>
      <c r="I834" s="1"/>
    </row>
    <row r="835" spans="1:9" x14ac:dyDescent="0.3">
      <c r="A835" t="s">
        <v>96</v>
      </c>
      <c r="B835" t="s">
        <v>757</v>
      </c>
      <c r="C835" s="1"/>
      <c r="D835" s="1">
        <v>9300000</v>
      </c>
      <c r="E835" s="1"/>
      <c r="F835" s="1"/>
      <c r="G835" s="1"/>
      <c r="H835" s="1"/>
      <c r="I835" s="1"/>
    </row>
    <row r="836" spans="1:9" x14ac:dyDescent="0.3">
      <c r="A836" t="s">
        <v>96</v>
      </c>
      <c r="B836" t="s">
        <v>758</v>
      </c>
      <c r="C836" s="1">
        <v>2</v>
      </c>
      <c r="D836" s="1">
        <v>14000000</v>
      </c>
      <c r="E836" s="1"/>
      <c r="F836" s="1"/>
      <c r="G836" s="1"/>
      <c r="H836" s="1"/>
      <c r="I836" s="1"/>
    </row>
    <row r="837" spans="1:9" x14ac:dyDescent="0.3">
      <c r="A837" t="s">
        <v>96</v>
      </c>
      <c r="B837" t="s">
        <v>759</v>
      </c>
      <c r="C837" s="1"/>
      <c r="D837" s="1">
        <v>9500000</v>
      </c>
      <c r="E837" s="1"/>
      <c r="F837" s="1"/>
      <c r="G837" s="1"/>
      <c r="H837" s="1"/>
      <c r="I837" s="1"/>
    </row>
    <row r="838" spans="1:9" x14ac:dyDescent="0.3">
      <c r="A838" t="s">
        <v>96</v>
      </c>
      <c r="B838" t="s">
        <v>393</v>
      </c>
      <c r="C838" s="1">
        <v>1</v>
      </c>
      <c r="D838" s="1">
        <v>7500000</v>
      </c>
      <c r="E838" s="1"/>
      <c r="F838" s="1"/>
      <c r="G838" s="1"/>
      <c r="H838" s="1"/>
      <c r="I838" s="1"/>
    </row>
    <row r="839" spans="1:9" x14ac:dyDescent="0.3">
      <c r="A839" t="s">
        <v>96</v>
      </c>
      <c r="B839" t="s">
        <v>393</v>
      </c>
      <c r="C839" s="1"/>
      <c r="D839" s="1">
        <v>8300000</v>
      </c>
      <c r="E839" s="1"/>
      <c r="F839" s="1"/>
      <c r="G839" s="1"/>
      <c r="H839" s="1"/>
      <c r="I839" s="1"/>
    </row>
    <row r="840" spans="1:9" x14ac:dyDescent="0.3">
      <c r="A840" t="s">
        <v>96</v>
      </c>
      <c r="B840" t="s">
        <v>760</v>
      </c>
      <c r="C840" s="1"/>
      <c r="D840" s="1">
        <v>8699000</v>
      </c>
      <c r="E840" s="1"/>
      <c r="F840" s="1"/>
      <c r="G840" s="1"/>
      <c r="H840" s="1"/>
      <c r="I840" s="1"/>
    </row>
    <row r="841" spans="1:9" x14ac:dyDescent="0.3">
      <c r="A841" t="s">
        <v>96</v>
      </c>
      <c r="B841" t="s">
        <v>761</v>
      </c>
      <c r="C841" s="1">
        <v>3</v>
      </c>
      <c r="D841" s="1">
        <v>9900000</v>
      </c>
      <c r="E841" s="1"/>
      <c r="F841" s="1"/>
      <c r="G841" s="1"/>
      <c r="H841" s="1"/>
      <c r="I841" s="1"/>
    </row>
    <row r="842" spans="1:9" x14ac:dyDescent="0.3">
      <c r="A842" t="s">
        <v>96</v>
      </c>
      <c r="B842" t="s">
        <v>762</v>
      </c>
      <c r="C842" s="1"/>
      <c r="D842" s="1">
        <v>4199000</v>
      </c>
      <c r="E842" s="1"/>
      <c r="F842" s="1"/>
      <c r="G842" s="1"/>
      <c r="H842" s="1"/>
      <c r="I842" s="1"/>
    </row>
    <row r="843" spans="1:9" x14ac:dyDescent="0.3">
      <c r="A843" t="s">
        <v>96</v>
      </c>
      <c r="B843" t="s">
        <v>763</v>
      </c>
      <c r="C843" s="1"/>
      <c r="D843" s="1">
        <v>11499000</v>
      </c>
      <c r="E843" s="1"/>
      <c r="F843" s="1"/>
      <c r="G843" s="1"/>
      <c r="H843" s="1"/>
      <c r="I843" s="1"/>
    </row>
    <row r="844" spans="1:9" x14ac:dyDescent="0.3">
      <c r="A844" t="s">
        <v>96</v>
      </c>
      <c r="B844" t="s">
        <v>764</v>
      </c>
      <c r="C844" s="1"/>
      <c r="D844" s="1">
        <v>6600000</v>
      </c>
      <c r="E844" s="1"/>
      <c r="F844" s="1"/>
      <c r="G844" s="1"/>
      <c r="H844" s="1"/>
      <c r="I844" s="1"/>
    </row>
    <row r="845" spans="1:9" x14ac:dyDescent="0.3">
      <c r="A845" t="s">
        <v>96</v>
      </c>
      <c r="B845" t="s">
        <v>765</v>
      </c>
      <c r="C845" s="1"/>
      <c r="D845" s="1">
        <v>5000000</v>
      </c>
      <c r="E845" s="1"/>
      <c r="F845" s="1"/>
      <c r="G845" s="1"/>
      <c r="H845" s="1"/>
      <c r="I845" s="1"/>
    </row>
    <row r="846" spans="1:9" x14ac:dyDescent="0.3">
      <c r="A846" t="s">
        <v>96</v>
      </c>
      <c r="B846" t="s">
        <v>766</v>
      </c>
      <c r="C846" s="1"/>
      <c r="D846" s="1">
        <v>5000000</v>
      </c>
      <c r="E846" s="1"/>
      <c r="F846" s="1"/>
      <c r="G846" s="1"/>
      <c r="H846" s="1"/>
      <c r="I846" s="1"/>
    </row>
    <row r="847" spans="1:9" x14ac:dyDescent="0.3">
      <c r="A847" t="s">
        <v>96</v>
      </c>
      <c r="B847" t="s">
        <v>767</v>
      </c>
      <c r="C847" s="1"/>
      <c r="D847" s="1">
        <v>8500000</v>
      </c>
      <c r="E847" s="1"/>
      <c r="F847" s="1"/>
      <c r="G847" s="1"/>
      <c r="H847" s="1"/>
      <c r="I847" s="1"/>
    </row>
    <row r="848" spans="1:9" x14ac:dyDescent="0.3">
      <c r="A848" t="s">
        <v>96</v>
      </c>
      <c r="B848" t="s">
        <v>768</v>
      </c>
      <c r="C848" s="1"/>
      <c r="D848" s="1">
        <v>11290000</v>
      </c>
      <c r="E848" s="1"/>
      <c r="F848" s="1"/>
      <c r="G848" s="1"/>
      <c r="H848" s="1"/>
      <c r="I848" s="1"/>
    </row>
    <row r="849" spans="1:9" x14ac:dyDescent="0.3">
      <c r="A849" t="s">
        <v>96</v>
      </c>
      <c r="B849" t="s">
        <v>769</v>
      </c>
      <c r="C849" s="1"/>
      <c r="D849" s="1">
        <v>6500000</v>
      </c>
      <c r="E849" s="1"/>
      <c r="F849" s="1"/>
      <c r="G849" s="1"/>
      <c r="H849" s="1"/>
      <c r="I849" s="1"/>
    </row>
    <row r="850" spans="1:9" x14ac:dyDescent="0.3">
      <c r="A850" t="s">
        <v>96</v>
      </c>
      <c r="B850" t="s">
        <v>770</v>
      </c>
      <c r="C850" s="1"/>
      <c r="D850" s="1">
        <v>7500000</v>
      </c>
      <c r="E850" s="1"/>
      <c r="F850" s="1"/>
      <c r="G850" s="1"/>
      <c r="H850" s="1"/>
      <c r="I850" s="1"/>
    </row>
    <row r="851" spans="1:9" x14ac:dyDescent="0.3">
      <c r="A851" t="s">
        <v>96</v>
      </c>
      <c r="B851" t="s">
        <v>771</v>
      </c>
      <c r="C851" s="1"/>
      <c r="D851" s="1">
        <v>9500000</v>
      </c>
      <c r="E851" s="1"/>
      <c r="F851" s="1"/>
      <c r="G851" s="1"/>
      <c r="H851" s="1"/>
      <c r="I851" s="1"/>
    </row>
    <row r="852" spans="1:9" x14ac:dyDescent="0.3">
      <c r="A852" t="s">
        <v>96</v>
      </c>
      <c r="B852" t="s">
        <v>772</v>
      </c>
      <c r="C852" s="1"/>
      <c r="D852" s="1">
        <v>6500000</v>
      </c>
      <c r="E852" s="1"/>
      <c r="F852" s="1"/>
      <c r="G852" s="1"/>
      <c r="H852" s="1"/>
      <c r="I852" s="1"/>
    </row>
    <row r="853" spans="1:9" x14ac:dyDescent="0.3">
      <c r="A853" t="s">
        <v>96</v>
      </c>
      <c r="B853" t="s">
        <v>772</v>
      </c>
      <c r="C853" s="1"/>
      <c r="D853" s="1">
        <v>4900000</v>
      </c>
      <c r="E853" s="1"/>
      <c r="F853" s="1"/>
      <c r="G853" s="1"/>
      <c r="H853" s="1"/>
      <c r="I853" s="1"/>
    </row>
    <row r="854" spans="1:9" x14ac:dyDescent="0.3">
      <c r="A854" t="s">
        <v>96</v>
      </c>
      <c r="B854" t="s">
        <v>773</v>
      </c>
      <c r="C854" s="1"/>
      <c r="D854" s="1">
        <v>10500000</v>
      </c>
      <c r="E854" s="1"/>
      <c r="F854" s="1"/>
      <c r="G854" s="1"/>
      <c r="H854" s="1"/>
      <c r="I854" s="1"/>
    </row>
    <row r="855" spans="1:9" x14ac:dyDescent="0.3">
      <c r="A855" t="s">
        <v>96</v>
      </c>
      <c r="B855" t="s">
        <v>774</v>
      </c>
      <c r="C855" s="1"/>
      <c r="D855" s="1">
        <v>7800000</v>
      </c>
      <c r="E855" s="1"/>
      <c r="F855" s="1"/>
      <c r="G855" s="1"/>
      <c r="H855" s="1"/>
      <c r="I855" s="1"/>
    </row>
    <row r="856" spans="1:9" x14ac:dyDescent="0.3">
      <c r="A856" t="s">
        <v>96</v>
      </c>
      <c r="B856" t="s">
        <v>775</v>
      </c>
      <c r="C856" s="1">
        <v>1</v>
      </c>
      <c r="D856" s="1">
        <v>6000000</v>
      </c>
      <c r="E856" s="1"/>
      <c r="F856" s="1"/>
      <c r="G856" s="1"/>
      <c r="H856" s="1"/>
      <c r="I856" s="1"/>
    </row>
    <row r="857" spans="1:9" x14ac:dyDescent="0.3">
      <c r="A857" t="s">
        <v>96</v>
      </c>
      <c r="B857" t="s">
        <v>775</v>
      </c>
      <c r="C857" s="1"/>
      <c r="D857" s="1">
        <v>7000000</v>
      </c>
      <c r="E857" s="1"/>
      <c r="F857" s="1"/>
      <c r="G857" s="1"/>
      <c r="H857" s="1"/>
      <c r="I857" s="1"/>
    </row>
    <row r="858" spans="1:9" x14ac:dyDescent="0.3">
      <c r="A858" t="s">
        <v>96</v>
      </c>
      <c r="B858" t="s">
        <v>776</v>
      </c>
      <c r="C858" s="1"/>
      <c r="D858" s="1">
        <v>2000000</v>
      </c>
      <c r="E858" s="1"/>
      <c r="F858" s="1"/>
      <c r="G858" s="1"/>
      <c r="H858" s="1"/>
      <c r="I858" s="1"/>
    </row>
    <row r="859" spans="1:9" x14ac:dyDescent="0.3">
      <c r="A859" t="s">
        <v>96</v>
      </c>
      <c r="B859" t="s">
        <v>777</v>
      </c>
      <c r="C859" s="1">
        <v>1</v>
      </c>
      <c r="D859" s="1">
        <v>2400000</v>
      </c>
      <c r="E859" s="1"/>
      <c r="F859" s="1"/>
      <c r="G859" s="1"/>
      <c r="H859" s="1"/>
      <c r="I859" s="1"/>
    </row>
    <row r="860" spans="1:9" x14ac:dyDescent="0.3">
      <c r="A860" t="s">
        <v>96</v>
      </c>
      <c r="B860" t="s">
        <v>778</v>
      </c>
      <c r="C860" s="1">
        <v>1</v>
      </c>
      <c r="D860" s="1">
        <v>2400000</v>
      </c>
      <c r="E860" s="1"/>
      <c r="F860" s="1"/>
      <c r="G860" s="1"/>
      <c r="H860" s="1"/>
      <c r="I860" s="1"/>
    </row>
    <row r="861" spans="1:9" x14ac:dyDescent="0.3">
      <c r="A861" t="s">
        <v>96</v>
      </c>
      <c r="B861" t="s">
        <v>779</v>
      </c>
      <c r="C861" s="1">
        <v>1</v>
      </c>
      <c r="D861" s="1">
        <v>5500000</v>
      </c>
      <c r="E861" s="1"/>
      <c r="F861" s="1"/>
      <c r="G861" s="1"/>
      <c r="H861" s="1"/>
      <c r="I861" s="1"/>
    </row>
    <row r="862" spans="1:9" x14ac:dyDescent="0.3">
      <c r="A862" t="s">
        <v>96</v>
      </c>
      <c r="B862" t="s">
        <v>19</v>
      </c>
      <c r="C862" s="1">
        <v>1</v>
      </c>
      <c r="D862" s="1">
        <v>2790000</v>
      </c>
      <c r="E862" s="1"/>
      <c r="F862" s="1"/>
      <c r="G862" s="1"/>
      <c r="H862" s="1"/>
      <c r="I862" s="1"/>
    </row>
    <row r="863" spans="1:9" x14ac:dyDescent="0.3">
      <c r="A863" t="s">
        <v>96</v>
      </c>
      <c r="B863" t="s">
        <v>780</v>
      </c>
      <c r="C863" s="1"/>
      <c r="D863" s="1">
        <v>3199000</v>
      </c>
      <c r="E863" s="1"/>
      <c r="F863" s="1"/>
      <c r="G863" s="1"/>
      <c r="H863" s="1"/>
      <c r="I863" s="1"/>
    </row>
    <row r="864" spans="1:9" x14ac:dyDescent="0.3">
      <c r="A864" t="s">
        <v>96</v>
      </c>
      <c r="B864" t="s">
        <v>65</v>
      </c>
      <c r="C864" s="1">
        <v>6</v>
      </c>
      <c r="D864" s="1">
        <v>13990000</v>
      </c>
      <c r="E864" s="1"/>
      <c r="F864" s="1"/>
      <c r="G864" s="1"/>
      <c r="H864" s="1"/>
      <c r="I864" s="1"/>
    </row>
    <row r="865" spans="1:9" x14ac:dyDescent="0.3">
      <c r="A865" t="s">
        <v>96</v>
      </c>
      <c r="B865" t="s">
        <v>781</v>
      </c>
      <c r="C865" s="1">
        <v>1</v>
      </c>
      <c r="D865" s="1"/>
      <c r="E865" s="1"/>
      <c r="F865" s="1"/>
      <c r="G865" s="1"/>
      <c r="H865" s="1"/>
      <c r="I865" s="1"/>
    </row>
    <row r="866" spans="1:9" x14ac:dyDescent="0.3">
      <c r="A866" t="s">
        <v>96</v>
      </c>
      <c r="B866" t="s">
        <v>782</v>
      </c>
      <c r="C866" s="1">
        <v>2</v>
      </c>
      <c r="D866" s="1">
        <v>3000000</v>
      </c>
      <c r="E866" s="1"/>
      <c r="F866" s="1"/>
      <c r="G866" s="1"/>
      <c r="H866" s="1"/>
      <c r="I866" s="1"/>
    </row>
    <row r="867" spans="1:9" x14ac:dyDescent="0.3">
      <c r="A867" t="s">
        <v>96</v>
      </c>
      <c r="B867" t="s">
        <v>82</v>
      </c>
      <c r="C867" s="1">
        <v>2</v>
      </c>
      <c r="D867" s="1">
        <v>5990000</v>
      </c>
      <c r="E867" s="1"/>
      <c r="F867" s="1"/>
      <c r="G867" s="1"/>
      <c r="H867" s="1"/>
      <c r="I867" s="1"/>
    </row>
    <row r="868" spans="1:9" x14ac:dyDescent="0.3">
      <c r="A868" t="s">
        <v>96</v>
      </c>
      <c r="B868" t="s">
        <v>783</v>
      </c>
      <c r="C868" s="1">
        <v>3</v>
      </c>
      <c r="D868" s="1">
        <v>4500000</v>
      </c>
      <c r="E868" s="1"/>
      <c r="F868" s="1"/>
      <c r="G868" s="1"/>
      <c r="H868" s="1"/>
      <c r="I868" s="1"/>
    </row>
    <row r="869" spans="1:9" x14ac:dyDescent="0.3">
      <c r="A869" t="s">
        <v>96</v>
      </c>
      <c r="B869" t="s">
        <v>199</v>
      </c>
      <c r="C869" s="1">
        <v>2</v>
      </c>
      <c r="D869" s="1">
        <v>5490000</v>
      </c>
      <c r="E869" s="1"/>
      <c r="F869" s="1"/>
      <c r="G869" s="1"/>
      <c r="H869" s="1"/>
      <c r="I869" s="1"/>
    </row>
    <row r="870" spans="1:9" x14ac:dyDescent="0.3">
      <c r="A870" t="s">
        <v>96</v>
      </c>
      <c r="B870" t="s">
        <v>784</v>
      </c>
      <c r="C870" s="1">
        <v>3</v>
      </c>
      <c r="D870" s="1">
        <v>6000000</v>
      </c>
      <c r="E870" s="1"/>
      <c r="F870" s="1"/>
      <c r="G870" s="1"/>
      <c r="H870" s="1"/>
      <c r="I870" s="1"/>
    </row>
    <row r="871" spans="1:9" x14ac:dyDescent="0.3">
      <c r="A871" t="s">
        <v>96</v>
      </c>
      <c r="B871" t="s">
        <v>785</v>
      </c>
      <c r="C871" s="1">
        <v>1</v>
      </c>
      <c r="D871" s="1">
        <v>6000000</v>
      </c>
      <c r="E871" s="1"/>
      <c r="F871" s="1"/>
      <c r="G871" s="1"/>
      <c r="H871" s="1"/>
      <c r="I871" s="1"/>
    </row>
    <row r="872" spans="1:9" x14ac:dyDescent="0.3">
      <c r="A872" t="s">
        <v>96</v>
      </c>
      <c r="B872" t="s">
        <v>786</v>
      </c>
      <c r="C872" s="1">
        <v>1</v>
      </c>
      <c r="D872" s="1">
        <v>2000000</v>
      </c>
      <c r="E872" s="1"/>
      <c r="F872" s="1"/>
      <c r="G872" s="1"/>
      <c r="H872" s="1"/>
      <c r="I872" s="1"/>
    </row>
    <row r="873" spans="1:9" x14ac:dyDescent="0.3">
      <c r="A873" t="s">
        <v>96</v>
      </c>
      <c r="B873" t="s">
        <v>787</v>
      </c>
      <c r="C873" s="1">
        <v>1</v>
      </c>
      <c r="D873" s="1">
        <v>20500000</v>
      </c>
      <c r="E873" s="1"/>
      <c r="F873" s="1"/>
      <c r="G873" s="1"/>
      <c r="H873" s="1"/>
      <c r="I873" s="1"/>
    </row>
    <row r="874" spans="1:9" x14ac:dyDescent="0.3">
      <c r="A874" t="s">
        <v>96</v>
      </c>
      <c r="B874" t="s">
        <v>788</v>
      </c>
      <c r="C874" s="1">
        <v>1</v>
      </c>
      <c r="D874" s="1">
        <v>20500000</v>
      </c>
      <c r="E874" s="1"/>
      <c r="F874" s="1"/>
      <c r="G874" s="1"/>
      <c r="H874" s="1"/>
      <c r="I874" s="1"/>
    </row>
    <row r="875" spans="1:9" x14ac:dyDescent="0.3">
      <c r="A875" t="s">
        <v>98</v>
      </c>
      <c r="B875" t="s">
        <v>789</v>
      </c>
      <c r="C875" s="1">
        <v>2</v>
      </c>
      <c r="D875" s="1">
        <v>2390000</v>
      </c>
      <c r="E875" s="1"/>
      <c r="F875" s="1"/>
      <c r="G875" s="1"/>
      <c r="H875" s="1"/>
      <c r="I875" s="1"/>
    </row>
    <row r="876" spans="1:9" x14ac:dyDescent="0.3">
      <c r="A876" t="s">
        <v>98</v>
      </c>
      <c r="B876" t="s">
        <v>790</v>
      </c>
      <c r="C876" s="1">
        <v>0</v>
      </c>
      <c r="D876" s="1">
        <v>900000</v>
      </c>
      <c r="E876" s="1"/>
      <c r="F876" s="1"/>
      <c r="G876" s="1"/>
      <c r="H876" s="1"/>
      <c r="I876" s="1"/>
    </row>
    <row r="877" spans="1:9" x14ac:dyDescent="0.3">
      <c r="A877" t="s">
        <v>142</v>
      </c>
      <c r="B877" t="s">
        <v>791</v>
      </c>
      <c r="C877" s="1">
        <v>0</v>
      </c>
      <c r="D877" s="1">
        <v>1300000</v>
      </c>
      <c r="E877" s="1"/>
      <c r="F877" s="1"/>
      <c r="G877" s="1"/>
      <c r="H877" s="1"/>
      <c r="I877" s="1"/>
    </row>
    <row r="878" spans="1:9" x14ac:dyDescent="0.3">
      <c r="A878" t="s">
        <v>142</v>
      </c>
      <c r="B878" t="s">
        <v>792</v>
      </c>
      <c r="C878" s="1">
        <v>1</v>
      </c>
      <c r="D878" s="1"/>
      <c r="E878" s="1"/>
      <c r="F878" s="1"/>
      <c r="G878" s="1"/>
      <c r="H878" s="1"/>
      <c r="I878" s="1"/>
    </row>
    <row r="879" spans="1:9" x14ac:dyDescent="0.3">
      <c r="A879" t="s">
        <v>142</v>
      </c>
      <c r="B879" t="s">
        <v>793</v>
      </c>
      <c r="C879" s="1"/>
      <c r="D879" s="1">
        <v>5000000</v>
      </c>
      <c r="E879" s="1"/>
      <c r="F879" s="1"/>
      <c r="G879" s="1"/>
      <c r="H879" s="1"/>
      <c r="I879" s="1"/>
    </row>
    <row r="880" spans="1:9" x14ac:dyDescent="0.3">
      <c r="A880" t="s">
        <v>142</v>
      </c>
      <c r="B880" t="s">
        <v>794</v>
      </c>
      <c r="C880" s="1"/>
      <c r="D880" s="1">
        <v>6000000</v>
      </c>
      <c r="E880" s="1"/>
      <c r="F880" s="1"/>
      <c r="G880" s="1"/>
      <c r="H880" s="1"/>
      <c r="I880" s="1"/>
    </row>
    <row r="881" spans="1:9" x14ac:dyDescent="0.3">
      <c r="A881" t="s">
        <v>142</v>
      </c>
      <c r="B881" t="s">
        <v>795</v>
      </c>
      <c r="C881" s="1">
        <v>1</v>
      </c>
      <c r="D881" s="1">
        <v>6000000</v>
      </c>
      <c r="E881" s="1"/>
      <c r="F881" s="1"/>
      <c r="G881" s="1"/>
      <c r="H881" s="1"/>
      <c r="I881" s="1"/>
    </row>
    <row r="882" spans="1:9" x14ac:dyDescent="0.3">
      <c r="A882" t="s">
        <v>142</v>
      </c>
      <c r="B882" t="s">
        <v>796</v>
      </c>
      <c r="C882" s="1">
        <v>1</v>
      </c>
      <c r="D882" s="1">
        <v>4000000</v>
      </c>
      <c r="E882" s="1"/>
      <c r="F882" s="1"/>
      <c r="G882" s="1"/>
      <c r="H882" s="1"/>
      <c r="I882" s="1"/>
    </row>
    <row r="883" spans="1:9" x14ac:dyDescent="0.3">
      <c r="A883" t="s">
        <v>142</v>
      </c>
      <c r="B883" t="s">
        <v>797</v>
      </c>
      <c r="C883" s="1">
        <v>1</v>
      </c>
      <c r="D883" s="1">
        <v>4990000</v>
      </c>
      <c r="E883" s="1"/>
      <c r="F883" s="1"/>
      <c r="G883" s="1"/>
      <c r="H883" s="1"/>
      <c r="I883" s="1"/>
    </row>
    <row r="884" spans="1:9" x14ac:dyDescent="0.3">
      <c r="A884" t="s">
        <v>142</v>
      </c>
      <c r="B884" t="s">
        <v>798</v>
      </c>
      <c r="C884" s="1">
        <v>1</v>
      </c>
      <c r="D884" s="1">
        <v>4400000</v>
      </c>
      <c r="E884" s="1"/>
      <c r="F884" s="1"/>
      <c r="G884" s="1"/>
      <c r="H884" s="1"/>
      <c r="I884" s="1"/>
    </row>
    <row r="885" spans="1:9" x14ac:dyDescent="0.3">
      <c r="A885" t="s">
        <v>142</v>
      </c>
      <c r="B885" t="s">
        <v>799</v>
      </c>
      <c r="C885" s="1">
        <v>1</v>
      </c>
      <c r="D885" s="1">
        <v>7400000</v>
      </c>
      <c r="E885" s="1"/>
      <c r="F885" s="1"/>
      <c r="G885" s="1"/>
      <c r="H885" s="1"/>
      <c r="I885" s="1"/>
    </row>
    <row r="886" spans="1:9" x14ac:dyDescent="0.3">
      <c r="A886" t="s">
        <v>142</v>
      </c>
      <c r="B886" t="s">
        <v>799</v>
      </c>
      <c r="C886" s="1"/>
      <c r="D886" s="1">
        <v>7000000</v>
      </c>
      <c r="E886" s="1"/>
      <c r="F886" s="1"/>
      <c r="G886" s="1"/>
      <c r="H886" s="1"/>
      <c r="I886" s="1"/>
    </row>
    <row r="887" spans="1:9" x14ac:dyDescent="0.3">
      <c r="A887" t="s">
        <v>142</v>
      </c>
      <c r="B887" t="s">
        <v>800</v>
      </c>
      <c r="C887" s="1"/>
      <c r="D887" s="1">
        <v>700000</v>
      </c>
      <c r="E887" s="1"/>
      <c r="F887" s="1"/>
      <c r="G887" s="1"/>
      <c r="H887" s="1"/>
      <c r="I887" s="1"/>
    </row>
    <row r="888" spans="1:9" x14ac:dyDescent="0.3">
      <c r="A888" t="s">
        <v>142</v>
      </c>
      <c r="B888" t="s">
        <v>49</v>
      </c>
      <c r="C888" s="1">
        <v>2</v>
      </c>
      <c r="D888" s="1">
        <v>2190000</v>
      </c>
      <c r="E888" s="1"/>
      <c r="F888" s="1"/>
      <c r="G888" s="1"/>
      <c r="H888" s="1"/>
      <c r="I888" s="1"/>
    </row>
    <row r="889" spans="1:9" x14ac:dyDescent="0.3">
      <c r="A889" t="s">
        <v>142</v>
      </c>
      <c r="B889" t="s">
        <v>801</v>
      </c>
      <c r="C889" s="1">
        <v>1</v>
      </c>
      <c r="D889" s="1"/>
      <c r="E889" s="1"/>
      <c r="F889" s="1"/>
      <c r="G889" s="1"/>
      <c r="H889" s="1"/>
      <c r="I889" s="1"/>
    </row>
    <row r="890" spans="1:9" x14ac:dyDescent="0.3">
      <c r="A890" t="s">
        <v>142</v>
      </c>
      <c r="B890" t="s">
        <v>802</v>
      </c>
      <c r="C890" s="1"/>
      <c r="D890" s="1">
        <v>2300000</v>
      </c>
      <c r="E890" s="1"/>
      <c r="F890" s="1"/>
      <c r="G890" s="1"/>
      <c r="H890" s="1"/>
      <c r="I890" s="1"/>
    </row>
    <row r="891" spans="1:9" x14ac:dyDescent="0.3">
      <c r="A891" t="s">
        <v>142</v>
      </c>
      <c r="B891" t="s">
        <v>415</v>
      </c>
      <c r="C891" s="1">
        <v>1</v>
      </c>
      <c r="D891" s="1">
        <v>3000000</v>
      </c>
      <c r="E891" s="1"/>
      <c r="F891" s="1"/>
      <c r="G891" s="1"/>
      <c r="H891" s="1"/>
      <c r="I891" s="1"/>
    </row>
    <row r="892" spans="1:9" x14ac:dyDescent="0.3">
      <c r="A892" t="s">
        <v>142</v>
      </c>
      <c r="B892" t="s">
        <v>137</v>
      </c>
      <c r="C892" s="1">
        <v>1</v>
      </c>
      <c r="D892" s="1">
        <v>4200000</v>
      </c>
      <c r="E892" s="1"/>
      <c r="F892" s="1"/>
      <c r="G892" s="1"/>
      <c r="H892" s="1"/>
      <c r="I892" s="1"/>
    </row>
    <row r="893" spans="1:9" x14ac:dyDescent="0.3">
      <c r="A893" t="s">
        <v>142</v>
      </c>
      <c r="B893" t="s">
        <v>137</v>
      </c>
      <c r="C893" s="1">
        <v>1</v>
      </c>
      <c r="D893" s="1">
        <v>4790000</v>
      </c>
      <c r="E893" s="1"/>
      <c r="F893" s="1"/>
      <c r="G893" s="1"/>
      <c r="H893" s="1"/>
      <c r="I893" s="1"/>
    </row>
    <row r="894" spans="1:9" x14ac:dyDescent="0.3">
      <c r="A894" t="s">
        <v>142</v>
      </c>
      <c r="B894" t="s">
        <v>803</v>
      </c>
      <c r="C894" s="1">
        <v>3</v>
      </c>
      <c r="D894" s="1">
        <v>4000000</v>
      </c>
      <c r="E894" s="1"/>
      <c r="F894" s="1"/>
      <c r="G894" s="1"/>
      <c r="H894" s="1"/>
      <c r="I894" s="1"/>
    </row>
    <row r="895" spans="1:9" x14ac:dyDescent="0.3">
      <c r="A895" t="s">
        <v>93</v>
      </c>
      <c r="B895" t="s">
        <v>804</v>
      </c>
      <c r="C895" s="1">
        <v>1</v>
      </c>
      <c r="D895" s="1"/>
      <c r="E895" s="1"/>
      <c r="F895" s="1"/>
      <c r="G895" s="1"/>
      <c r="H895" s="1"/>
      <c r="I895" s="1"/>
    </row>
    <row r="896" spans="1:9" x14ac:dyDescent="0.3">
      <c r="A896" t="s">
        <v>10</v>
      </c>
      <c r="B896" t="s">
        <v>805</v>
      </c>
      <c r="C896" s="1"/>
      <c r="D896" s="1"/>
      <c r="E896" s="1"/>
      <c r="F896" s="1"/>
      <c r="G896" s="1"/>
      <c r="H896" s="1"/>
      <c r="I896" s="1"/>
    </row>
    <row r="897" spans="1:9" x14ac:dyDescent="0.3">
      <c r="A897" t="s">
        <v>10</v>
      </c>
      <c r="B897" t="s">
        <v>806</v>
      </c>
      <c r="C897" s="1"/>
      <c r="D897" s="1"/>
      <c r="E897" s="1"/>
      <c r="F897" s="1"/>
      <c r="G897" s="1">
        <v>-1</v>
      </c>
      <c r="H897" s="1"/>
      <c r="I897" s="1"/>
    </row>
    <row r="898" spans="1:9" x14ac:dyDescent="0.3">
      <c r="A898" t="s">
        <v>10</v>
      </c>
      <c r="B898" t="s">
        <v>807</v>
      </c>
      <c r="C898" s="1">
        <v>4</v>
      </c>
      <c r="D898" s="1">
        <v>11600000</v>
      </c>
      <c r="E898" s="1"/>
      <c r="F898" s="1"/>
      <c r="G898" s="1"/>
      <c r="H898" s="1"/>
      <c r="I898" s="1"/>
    </row>
    <row r="899" spans="1:9" x14ac:dyDescent="0.3">
      <c r="A899" t="s">
        <v>10</v>
      </c>
      <c r="B899" t="s">
        <v>808</v>
      </c>
      <c r="C899" s="1"/>
      <c r="D899" s="1"/>
      <c r="E899" s="1"/>
      <c r="F899" s="1"/>
      <c r="G899" s="1"/>
      <c r="H899" s="1"/>
      <c r="I899" s="1"/>
    </row>
    <row r="900" spans="1:9" x14ac:dyDescent="0.3">
      <c r="A900" t="s">
        <v>10</v>
      </c>
      <c r="B900" t="s">
        <v>665</v>
      </c>
      <c r="C900" s="1"/>
      <c r="D900" s="1"/>
      <c r="E900" s="1"/>
      <c r="F900" s="1"/>
      <c r="G900" s="1"/>
      <c r="H900" s="1"/>
      <c r="I900" s="1"/>
    </row>
    <row r="901" spans="1:9" x14ac:dyDescent="0.3">
      <c r="A901" t="s">
        <v>215</v>
      </c>
      <c r="B901" t="s">
        <v>809</v>
      </c>
      <c r="C901" s="1"/>
      <c r="D901" s="1"/>
      <c r="E901" s="1"/>
      <c r="F901" s="1"/>
      <c r="G901" s="1"/>
      <c r="H901" s="1"/>
      <c r="I901" s="1"/>
    </row>
    <row r="902" spans="1:9" x14ac:dyDescent="0.3">
      <c r="A902" t="s">
        <v>125</v>
      </c>
      <c r="B902" t="s">
        <v>365</v>
      </c>
      <c r="C902" s="1">
        <v>1</v>
      </c>
      <c r="D902" s="1">
        <v>1100000</v>
      </c>
      <c r="E902" s="1"/>
      <c r="F902" s="1"/>
      <c r="G902" s="1"/>
      <c r="H902" s="1"/>
      <c r="I902" s="1"/>
    </row>
    <row r="903" spans="1:9" x14ac:dyDescent="0.3">
      <c r="A903" t="s">
        <v>121</v>
      </c>
      <c r="B903" t="s">
        <v>810</v>
      </c>
      <c r="C903" s="1">
        <v>1</v>
      </c>
      <c r="D903" s="1"/>
      <c r="E903" s="1"/>
      <c r="F903" s="1"/>
      <c r="G903" s="1"/>
      <c r="H903" s="1"/>
      <c r="I903"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������������� nh�� nh����������� nh�� nh��
</file>

<file path=customXml/item6.xml>��
</file>

<file path=customXml/item7.xml>��
</file>

<file path=customXml/item8.xml>��
</file>

<file path=customXml/item9.xml>����
</file>

<file path=customXml/item10.xml>��
</file>

<file path=customXml/item11.xml>���������������������������c ��c �������������
</file>

<file path=customXml/item12.xml>���������������������������c ��c �������������
</file>

<file path=customXml/item13.xml>��
</file>

<file path=customXml/item14.xml>��
</file>

<file path=customXml/item15.xml>���������������������������c ��c �������������
</file>

<file path=customXml/item16.xml>�������������������������������������������������������������������������������������������������������������������������������������������������������c ��c ��c ������������������������������������� nh�� nh���������������������������c ��c ��c ������������������������������������� nh�� nh��������������������
</file>

<file path=customXml/item17.xml>��
</file>

<file path=customXml/item18.xml>��
</file>

<file path=customXml/item19.xml>��
</file>

<file path=customXml/item20.xml>���������������������������c ��c �������������
</file>

<file path=customXml/item21.xml>��
</file>

<file path=customXml/item22.xml>��
</file>

<file path=customXml/item23.xml>��
</file>

<file path=customXml/item24.xml>����������
</file>

<file path=customXml/item25.xml>��������
</file>

<file path=customXml/item26.xml>���������������������������c ��c �������������
</file>

<file path=customXml/item27.xml>��
</file>

<file path=customXml/item28.xml>��
</file>

<file path=customXml/item29.xml>��
</file>

<file path=customXml/item30.xml>��
</file>

<file path=customXml/item31.xml>��
</file>

<file path=customXml/item32.xml>���������������������������c ��c �������������
</file>

<file path=customXml/item33.xml>���������������������������c ��c �������������
</file>

<file path=customXml/item34.xml>���������������������������c ��c �������������
</file>

<file path=customXml/item35.xml>��������������������������
</file>

<file path=customXml/item36.xml>���������������������������c ��c �������������
</file>

<file path=customXml/item37.xml>��
</file>

<file path=customXml/item38.xml>������
</file>

<file path=customXml/item39.xml>���������������������������c ��c �������������
</file>

<file path=customXml/item40.xml>���������������������������c ��c �������������
</file>

<file path=customXml/item41.xml>��
</file>

<file path=customXml/item42.xml>��������������������� nh�� nh��
</file>

<file path=customXml/item43.xml>���������������������������c ��c �������������
</file>

<file path=customXml/item44.xml>��
</file>

<file path=customXml/item45.xml>��
</file>

<file path=customXml/item46.xml>������
</file>

<file path=customXml/item47.xml>���������������������������c ��c �������������
</file>

<file path=customXml/item48.xml>��
</file>

<file path=customXml/item49.xml>���������������������������c ��c �������������
</file>

<file path=customXml/item50.xml>��
</file>

<file path=customXml/itemProps1.xml><?xml version="1.0" encoding="utf-8"?>
<ds:datastoreItem xmlns:ds="http://schemas.openxmlformats.org/officeDocument/2006/customXml" ds:itemID="{3E51DA90-F9A5-459E-B747-412FA4BABB0E}">
  <ds:schemaRefs/>
</ds:datastoreItem>
</file>

<file path=customXml/itemProps2.xml><?xml version="1.0" encoding="utf-8"?>
<ds:datastoreItem xmlns:ds="http://schemas.openxmlformats.org/officeDocument/2006/customXml" ds:itemID="{D53AADB6-E290-4558-B514-8F8CC8A32FDB}">
  <ds:schemaRefs/>
</ds:datastoreItem>
</file>

<file path=customXml/itemProps3.xml><?xml version="1.0" encoding="utf-8"?>
<ds:datastoreItem xmlns:ds="http://schemas.openxmlformats.org/officeDocument/2006/customXml" ds:itemID="{23637D84-37B6-4B75-AA0C-7AE0360F5C93}">
  <ds:schemaRefs/>
</ds:datastoreItem>
</file>

<file path=customXml/itemProps4.xml><?xml version="1.0" encoding="utf-8"?>
<ds:datastoreItem xmlns:ds="http://schemas.openxmlformats.org/officeDocument/2006/customXml" ds:itemID="{439009D9-D3CC-4B14-B586-13AE36E73AB7}">
  <ds:schemaRefs/>
</ds:datastoreItem>
</file>

<file path=customXml/itemProps5.xml><?xml version="1.0" encoding="utf-8"?>
<ds:datastoreItem xmlns:ds="http://schemas.openxmlformats.org/officeDocument/2006/customXml" ds:itemID="{1ACC6E42-B5CB-452A-81B9-A660B4B1F221}">
  <ds:schemaRefs/>
</ds:datastoreItem>
</file>

<file path=customXml/itemProps6.xml><?xml version="1.0" encoding="utf-8"?>
<ds:datastoreItem xmlns:ds="http://schemas.openxmlformats.org/officeDocument/2006/customXml" ds:itemID="{2BEE5661-67C5-45A8-86A3-133A6AA5F1F2}">
  <ds:schemaRefs/>
</ds:datastoreItem>
</file>

<file path=customXml/itemProps7.xml><?xml version="1.0" encoding="utf-8"?>
<ds:datastoreItem xmlns:ds="http://schemas.openxmlformats.org/officeDocument/2006/customXml" ds:itemID="{913474AC-575B-4936-ACBA-91AF3291CB24}">
  <ds:schemaRefs/>
</ds:datastoreItem>
</file>

<file path=customXml/itemProps8.xml><?xml version="1.0" encoding="utf-8"?>
<ds:datastoreItem xmlns:ds="http://schemas.openxmlformats.org/officeDocument/2006/customXml" ds:itemID="{54E0D972-9704-4755-A12C-0A55786D2C81}">
  <ds:schemaRefs/>
</ds:datastoreItem>
</file>

<file path=customXml/itemProps9.xml><?xml version="1.0" encoding="utf-8"?>
<ds:datastoreItem xmlns:ds="http://schemas.openxmlformats.org/officeDocument/2006/customXml" ds:itemID="{4285FCE1-93D6-4A8A-9EBD-7FA03AD68059}">
  <ds:schemaRefs/>
</ds:datastoreItem>
</file>

<file path=customXml/itemProps10.xml><?xml version="1.0" encoding="utf-8"?>
<ds:datastoreItem xmlns:ds="http://schemas.openxmlformats.org/officeDocument/2006/customXml" ds:itemID="{761F6089-C69E-4DA6-9C01-F8A7C9882532}">
  <ds:schemaRefs/>
</ds:datastoreItem>
</file>

<file path=customXml/itemProps11.xml><?xml version="1.0" encoding="utf-8"?>
<ds:datastoreItem xmlns:ds="http://schemas.openxmlformats.org/officeDocument/2006/customXml" ds:itemID="{F704D8D3-A163-4DA3-A5D8-101329BD7729}">
  <ds:schemaRefs/>
</ds:datastoreItem>
</file>

<file path=customXml/itemProps12.xml><?xml version="1.0" encoding="utf-8"?>
<ds:datastoreItem xmlns:ds="http://schemas.openxmlformats.org/officeDocument/2006/customXml" ds:itemID="{7982AF4B-B6FE-4AF7-B17C-5D13A7FA5351}">
  <ds:schemaRefs/>
</ds:datastoreItem>
</file>

<file path=customXml/itemProps13.xml><?xml version="1.0" encoding="utf-8"?>
<ds:datastoreItem xmlns:ds="http://schemas.openxmlformats.org/officeDocument/2006/customXml" ds:itemID="{23D9AB9F-E2AB-4A6C-A84D-F6EA9192D85C}">
  <ds:schemaRefs/>
</ds:datastoreItem>
</file>

<file path=customXml/itemProps14.xml><?xml version="1.0" encoding="utf-8"?>
<ds:datastoreItem xmlns:ds="http://schemas.openxmlformats.org/officeDocument/2006/customXml" ds:itemID="{5BC7B21B-9332-40C0-9843-ADA27E71C32C}">
  <ds:schemaRefs/>
</ds:datastoreItem>
</file>

<file path=customXml/itemProps15.xml><?xml version="1.0" encoding="utf-8"?>
<ds:datastoreItem xmlns:ds="http://schemas.openxmlformats.org/officeDocument/2006/customXml" ds:itemID="{112BDB5D-5122-488B-88B8-849577E45856}">
  <ds:schemaRefs/>
</ds:datastoreItem>
</file>

<file path=customXml/itemProps16.xml><?xml version="1.0" encoding="utf-8"?>
<ds:datastoreItem xmlns:ds="http://schemas.openxmlformats.org/officeDocument/2006/customXml" ds:itemID="{A9E391D7-1467-4C33-8DE5-EADC1E25B372}">
  <ds:schemaRefs/>
</ds:datastoreItem>
</file>

<file path=customXml/itemProps17.xml><?xml version="1.0" encoding="utf-8"?>
<ds:datastoreItem xmlns:ds="http://schemas.openxmlformats.org/officeDocument/2006/customXml" ds:itemID="{6D1A6E65-5BAB-4502-9BFE-C2721B7C7CD4}">
  <ds:schemaRefs/>
</ds:datastoreItem>
</file>

<file path=customXml/itemProps18.xml><?xml version="1.0" encoding="utf-8"?>
<ds:datastoreItem xmlns:ds="http://schemas.openxmlformats.org/officeDocument/2006/customXml" ds:itemID="{3E94F515-CF45-49A3-9576-4389F00FF793}">
  <ds:schemaRefs/>
</ds:datastoreItem>
</file>

<file path=customXml/itemProps19.xml><?xml version="1.0" encoding="utf-8"?>
<ds:datastoreItem xmlns:ds="http://schemas.openxmlformats.org/officeDocument/2006/customXml" ds:itemID="{1C441F42-D715-46B1-A21F-40EBACC70FD5}">
  <ds:schemaRefs>
    <ds:schemaRef ds:uri="http://schemas.microsoft.com/DataMashup"/>
  </ds:schemaRefs>
</ds:datastoreItem>
</file>

<file path=customXml/itemProps20.xml><?xml version="1.0" encoding="utf-8"?>
<ds:datastoreItem xmlns:ds="http://schemas.openxmlformats.org/officeDocument/2006/customXml" ds:itemID="{A43CF7FA-8B95-418B-A92A-A19AADBE2024}">
  <ds:schemaRefs/>
</ds:datastoreItem>
</file>

<file path=customXml/itemProps21.xml><?xml version="1.0" encoding="utf-8"?>
<ds:datastoreItem xmlns:ds="http://schemas.openxmlformats.org/officeDocument/2006/customXml" ds:itemID="{A084EAB6-CF90-4C3F-9FE9-3CD78DDF21FD}">
  <ds:schemaRefs/>
</ds:datastoreItem>
</file>

<file path=customXml/itemProps22.xml><?xml version="1.0" encoding="utf-8"?>
<ds:datastoreItem xmlns:ds="http://schemas.openxmlformats.org/officeDocument/2006/customXml" ds:itemID="{F1F62752-AF4B-4111-A42E-26F4E675D6B6}">
  <ds:schemaRefs/>
</ds:datastoreItem>
</file>

<file path=customXml/itemProps23.xml><?xml version="1.0" encoding="utf-8"?>
<ds:datastoreItem xmlns:ds="http://schemas.openxmlformats.org/officeDocument/2006/customXml" ds:itemID="{C8A5D36F-6C95-41EB-807F-30FC51BE37BA}">
  <ds:schemaRefs/>
</ds:datastoreItem>
</file>

<file path=customXml/itemProps24.xml><?xml version="1.0" encoding="utf-8"?>
<ds:datastoreItem xmlns:ds="http://schemas.openxmlformats.org/officeDocument/2006/customXml" ds:itemID="{FCE6ADAE-3DCD-4E33-9E02-491A2E7AE876}">
  <ds:schemaRefs/>
</ds:datastoreItem>
</file>

<file path=customXml/itemProps25.xml><?xml version="1.0" encoding="utf-8"?>
<ds:datastoreItem xmlns:ds="http://schemas.openxmlformats.org/officeDocument/2006/customXml" ds:itemID="{5BD11611-1560-436C-8CFB-310F3C28C8B1}">
  <ds:schemaRefs/>
</ds:datastoreItem>
</file>

<file path=customXml/itemProps26.xml><?xml version="1.0" encoding="utf-8"?>
<ds:datastoreItem xmlns:ds="http://schemas.openxmlformats.org/officeDocument/2006/customXml" ds:itemID="{5CCEC335-60C5-4C47-8B57-3D2F793D429E}">
  <ds:schemaRefs/>
</ds:datastoreItem>
</file>

<file path=customXml/itemProps27.xml><?xml version="1.0" encoding="utf-8"?>
<ds:datastoreItem xmlns:ds="http://schemas.openxmlformats.org/officeDocument/2006/customXml" ds:itemID="{66848C9E-0A36-46F7-B05A-41CA02A4A2A6}">
  <ds:schemaRefs/>
</ds:datastoreItem>
</file>

<file path=customXml/itemProps28.xml><?xml version="1.0" encoding="utf-8"?>
<ds:datastoreItem xmlns:ds="http://schemas.openxmlformats.org/officeDocument/2006/customXml" ds:itemID="{EE80335B-65C8-4636-8554-D1A179C0D677}">
  <ds:schemaRefs/>
</ds:datastoreItem>
</file>

<file path=customXml/itemProps29.xml><?xml version="1.0" encoding="utf-8"?>
<ds:datastoreItem xmlns:ds="http://schemas.openxmlformats.org/officeDocument/2006/customXml" ds:itemID="{CC1C0BB1-0369-46DE-8419-DF2C13D053D5}">
  <ds:schemaRefs/>
</ds:datastoreItem>
</file>

<file path=customXml/itemProps30.xml><?xml version="1.0" encoding="utf-8"?>
<ds:datastoreItem xmlns:ds="http://schemas.openxmlformats.org/officeDocument/2006/customXml" ds:itemID="{327FC512-79D7-4C89-8486-9EDC88B8BFCC}">
  <ds:schemaRefs/>
</ds:datastoreItem>
</file>

<file path=customXml/itemProps31.xml><?xml version="1.0" encoding="utf-8"?>
<ds:datastoreItem xmlns:ds="http://schemas.openxmlformats.org/officeDocument/2006/customXml" ds:itemID="{535362E1-C72B-41DF-80D3-E01083C88E3F}">
  <ds:schemaRefs/>
</ds:datastoreItem>
</file>

<file path=customXml/itemProps32.xml><?xml version="1.0" encoding="utf-8"?>
<ds:datastoreItem xmlns:ds="http://schemas.openxmlformats.org/officeDocument/2006/customXml" ds:itemID="{11E02FAE-F958-4AC1-B836-D68B7F56901F}">
  <ds:schemaRefs/>
</ds:datastoreItem>
</file>

<file path=customXml/itemProps33.xml><?xml version="1.0" encoding="utf-8"?>
<ds:datastoreItem xmlns:ds="http://schemas.openxmlformats.org/officeDocument/2006/customXml" ds:itemID="{FA3CD189-6787-44DD-A6E5-9C794BB43632}">
  <ds:schemaRefs/>
</ds:datastoreItem>
</file>

<file path=customXml/itemProps34.xml><?xml version="1.0" encoding="utf-8"?>
<ds:datastoreItem xmlns:ds="http://schemas.openxmlformats.org/officeDocument/2006/customXml" ds:itemID="{9B3EE6EB-1145-4405-8F58-E26C905CA7D8}">
  <ds:schemaRefs/>
</ds:datastoreItem>
</file>

<file path=customXml/itemProps35.xml><?xml version="1.0" encoding="utf-8"?>
<ds:datastoreItem xmlns:ds="http://schemas.openxmlformats.org/officeDocument/2006/customXml" ds:itemID="{4438B410-90B0-4FE4-A4C5-70BC6BB82BFD}">
  <ds:schemaRefs/>
</ds:datastoreItem>
</file>

<file path=customXml/itemProps36.xml><?xml version="1.0" encoding="utf-8"?>
<ds:datastoreItem xmlns:ds="http://schemas.openxmlformats.org/officeDocument/2006/customXml" ds:itemID="{E9E41C9A-B14D-4BF7-8242-008C7142D00C}">
  <ds:schemaRefs/>
</ds:datastoreItem>
</file>

<file path=customXml/itemProps37.xml><?xml version="1.0" encoding="utf-8"?>
<ds:datastoreItem xmlns:ds="http://schemas.openxmlformats.org/officeDocument/2006/customXml" ds:itemID="{ED50C968-8818-42C1-9AEC-96273A22C58D}">
  <ds:schemaRefs/>
</ds:datastoreItem>
</file>

<file path=customXml/itemProps38.xml><?xml version="1.0" encoding="utf-8"?>
<ds:datastoreItem xmlns:ds="http://schemas.openxmlformats.org/officeDocument/2006/customXml" ds:itemID="{84A90FF7-CF40-4A44-876D-9ABF9F0F2D58}">
  <ds:schemaRefs/>
</ds:datastoreItem>
</file>

<file path=customXml/itemProps39.xml><?xml version="1.0" encoding="utf-8"?>
<ds:datastoreItem xmlns:ds="http://schemas.openxmlformats.org/officeDocument/2006/customXml" ds:itemID="{B2E42F04-C44F-45D3-A00A-6AF6DA609B9B}">
  <ds:schemaRefs/>
</ds:datastoreItem>
</file>

<file path=customXml/itemProps40.xml><?xml version="1.0" encoding="utf-8"?>
<ds:datastoreItem xmlns:ds="http://schemas.openxmlformats.org/officeDocument/2006/customXml" ds:itemID="{DD32638F-728E-4246-B2AA-CA8FA19305B6}">
  <ds:schemaRefs/>
</ds:datastoreItem>
</file>

<file path=customXml/itemProps41.xml><?xml version="1.0" encoding="utf-8"?>
<ds:datastoreItem xmlns:ds="http://schemas.openxmlformats.org/officeDocument/2006/customXml" ds:itemID="{6F26CBCA-47F3-45B4-A588-90A77A0020AB}">
  <ds:schemaRefs/>
</ds:datastoreItem>
</file>

<file path=customXml/itemProps42.xml><?xml version="1.0" encoding="utf-8"?>
<ds:datastoreItem xmlns:ds="http://schemas.openxmlformats.org/officeDocument/2006/customXml" ds:itemID="{5FCA6FA3-C89B-4DE4-B391-713F7508CE48}">
  <ds:schemaRefs/>
</ds:datastoreItem>
</file>

<file path=customXml/itemProps43.xml><?xml version="1.0" encoding="utf-8"?>
<ds:datastoreItem xmlns:ds="http://schemas.openxmlformats.org/officeDocument/2006/customXml" ds:itemID="{3D20F1D9-1F87-4A1F-A39D-CC08212E740C}">
  <ds:schemaRefs/>
</ds:datastoreItem>
</file>

<file path=customXml/itemProps44.xml><?xml version="1.0" encoding="utf-8"?>
<ds:datastoreItem xmlns:ds="http://schemas.openxmlformats.org/officeDocument/2006/customXml" ds:itemID="{D3E01D56-B96A-4DE8-8B3F-F47E609CE470}">
  <ds:schemaRefs/>
</ds:datastoreItem>
</file>

<file path=customXml/itemProps45.xml><?xml version="1.0" encoding="utf-8"?>
<ds:datastoreItem xmlns:ds="http://schemas.openxmlformats.org/officeDocument/2006/customXml" ds:itemID="{6CCC4600-E81C-43CD-A8AD-1685061C0E92}">
  <ds:schemaRefs/>
</ds:datastoreItem>
</file>

<file path=customXml/itemProps46.xml><?xml version="1.0" encoding="utf-8"?>
<ds:datastoreItem xmlns:ds="http://schemas.openxmlformats.org/officeDocument/2006/customXml" ds:itemID="{9B93671A-A739-4A21-B341-A519EC70898B}">
  <ds:schemaRefs/>
</ds:datastoreItem>
</file>

<file path=customXml/itemProps47.xml><?xml version="1.0" encoding="utf-8"?>
<ds:datastoreItem xmlns:ds="http://schemas.openxmlformats.org/officeDocument/2006/customXml" ds:itemID="{A0B1F223-518C-4F48-A681-8452F30B850F}">
  <ds:schemaRefs/>
</ds:datastoreItem>
</file>

<file path=customXml/itemProps48.xml><?xml version="1.0" encoding="utf-8"?>
<ds:datastoreItem xmlns:ds="http://schemas.openxmlformats.org/officeDocument/2006/customXml" ds:itemID="{7D5B0D9D-18CC-4CD2-B860-F57DE79D2D7A}">
  <ds:schemaRefs/>
</ds:datastoreItem>
</file>

<file path=customXml/itemProps49.xml><?xml version="1.0" encoding="utf-8"?>
<ds:datastoreItem xmlns:ds="http://schemas.openxmlformats.org/officeDocument/2006/customXml" ds:itemID="{6FD6F130-8FE6-44C2-B4D0-3912474C5A16}">
  <ds:schemaRefs/>
</ds:datastoreItem>
</file>

<file path=customXml/itemProps50.xml><?xml version="1.0" encoding="utf-8"?>
<ds:datastoreItem xmlns:ds="http://schemas.openxmlformats.org/officeDocument/2006/customXml" ds:itemID="{932C3F71-6DEE-4A97-A962-CAC6A2AEDF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1 - TỒN KHO THÁNG 7</vt:lpstr>
      <vt:lpstr>DATA 2 - DOANH SỐ BÁN</vt:lpstr>
      <vt:lpstr>TEST</vt:lpstr>
      <vt:lpstr>Target</vt:lpstr>
      <vt:lpstr>Dim_NganhHang</vt:lpstr>
      <vt:lpstr>Dim_ThoiGian</vt:lpstr>
      <vt:lpstr>C1-Bảng biểu, biểu đồ,nhận xét</vt:lpstr>
      <vt:lpstr>C1-Dashboard Doanh Số-Target</vt:lpstr>
      <vt:lpstr>C2-DATA 1- TỒN KHO T7(đã xử lý)</vt:lpstr>
      <vt:lpstr> C2-Bảng,chart,NX-ĐX</vt:lpstr>
      <vt:lpstr>DATA 1 - TỒN KHO THÁNG 7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Pham Hop</cp:lastModifiedBy>
  <dcterms:created xsi:type="dcterms:W3CDTF">2016-07-06T08:22:49Z</dcterms:created>
  <dcterms:modified xsi:type="dcterms:W3CDTF">2026-03-29T13:45:19Z</dcterms:modified>
</cp:coreProperties>
</file>